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hcmuteduvn-my.sharepoint.com/personal/nhat_duong2406_hcmut_edu_vn/Documents/"/>
    </mc:Choice>
  </mc:AlternateContent>
  <xr:revisionPtr revIDLastSave="0" documentId="8_{8AE226CD-CD20-4BCB-B395-9D5023545FEF}" xr6:coauthVersionLast="47" xr6:coauthVersionMax="47" xr10:uidLastSave="{00000000-0000-0000-0000-000000000000}"/>
  <bookViews>
    <workbookView xWindow="-110" yWindow="-110" windowWidth="19420" windowHeight="10420" firstSheet="6" activeTab="6" xr2:uid="{00000000-000D-0000-FFFF-FFFF00000000}"/>
  </bookViews>
  <sheets>
    <sheet name="Product_BOM" sheetId="2" r:id="rId1"/>
    <sheet name="Factory_Capacity" sheetId="3" r:id="rId2"/>
    <sheet name="Transport_costs" sheetId="8" r:id="rId3"/>
    <sheet name="Demand_Forecast" sheetId="9" r:id="rId4"/>
    <sheet name="Inventory_Log" sheetId="4" r:id="rId5"/>
    <sheet name="Stock_Level" sheetId="5" r:id="rId6"/>
    <sheet name="Order" sheetId="10" r:id="rId7"/>
    <sheet name="Dashboard" sheetId="11" r:id="rId8"/>
  </sheets>
  <definedNames>
    <definedName name="_xlnm._FilterDatabase" localSheetId="6" hidden="1">Order!$A$1:$I$481</definedName>
    <definedName name="Bộcắt_Khách_hàng">#N/A</definedName>
    <definedName name="Bộcắt_Khu_vực">#N/A</definedName>
    <definedName name="Bộcắt_Mã_Sản_phẩm">#N/A</definedName>
    <definedName name="Bộcắt_Tháng">#N/A</definedName>
    <definedName name="_xlnm.Criteria" localSheetId="6">Order!$S$2:$V$3</definedName>
    <definedName name="Mtable">Table1[#All]</definedName>
    <definedName name="Mytable">Order!$A$1:$I$481</definedName>
    <definedName name="_xlnm.Extract" localSheetId="6">Order!$S$5:$AA$5</definedName>
  </definedNames>
  <calcPr calcId="191028"/>
  <pivotCaches>
    <pivotCache cacheId="59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0" l="1"/>
  <c r="M4" i="10"/>
  <c r="I481" i="10"/>
  <c r="I2" i="10"/>
  <c r="I3" i="10"/>
  <c r="I6" i="10"/>
  <c r="I4" i="10"/>
  <c r="I5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O25" i="10"/>
  <c r="N25" i="10"/>
  <c r="M19" i="10"/>
  <c r="C2" i="10"/>
  <c r="D2" i="10" s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N19" i="10"/>
  <c r="N16" i="10"/>
  <c r="M16" i="10"/>
  <c r="L13" i="10"/>
  <c r="M10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P34" i="10" l="1"/>
  <c r="O34" i="10"/>
  <c r="O28" i="10"/>
  <c r="N28" i="10"/>
  <c r="N31" i="10"/>
  <c r="O31" i="10"/>
  <c r="N22" i="10"/>
  <c r="M22" i="10"/>
  <c r="M13" i="10"/>
  <c r="M7" i="10"/>
  <c r="L7" i="10"/>
  <c r="L10" i="10"/>
</calcChain>
</file>

<file path=xl/sharedStrings.xml><?xml version="1.0" encoding="utf-8"?>
<sst xmlns="http://schemas.openxmlformats.org/spreadsheetml/2006/main" count="2167" uniqueCount="554">
  <si>
    <t>SKU</t>
  </si>
  <si>
    <t>Tên Sản Phẩm</t>
  </si>
  <si>
    <t>Loại</t>
  </si>
  <si>
    <t>Định mức Vải (m/sp)</t>
  </si>
  <si>
    <t>Công lao động (giờ/sp)</t>
  </si>
  <si>
    <t>Giá bán (VNĐ)</t>
  </si>
  <si>
    <t>AT001</t>
  </si>
  <si>
    <t>Áo thun Basic</t>
  </si>
  <si>
    <t>Áo</t>
  </si>
  <si>
    <t>AS002</t>
  </si>
  <si>
    <t>Áo sơ mi Nam</t>
  </si>
  <si>
    <t>QT003</t>
  </si>
  <si>
    <t>Quần Tây Âu</t>
  </si>
  <si>
    <t>Quần</t>
  </si>
  <si>
    <t>Factory_ID</t>
  </si>
  <si>
    <t>Địa điểm</t>
  </si>
  <si>
    <t>Công suất tối đa (giờ)</t>
  </si>
  <si>
    <t>Chi phí vận hành ($/giờ)</t>
  </si>
  <si>
    <t>F1</t>
  </si>
  <si>
    <t>TP.HCM</t>
  </si>
  <si>
    <t>F2</t>
  </si>
  <si>
    <t>Đồng Nai</t>
  </si>
  <si>
    <t>F3</t>
  </si>
  <si>
    <t>Long An</t>
  </si>
  <si>
    <t>Source</t>
  </si>
  <si>
    <t>Destination</t>
  </si>
  <si>
    <t>Unit_Transport_Cost</t>
  </si>
  <si>
    <t>North</t>
  </si>
  <si>
    <t>South</t>
  </si>
  <si>
    <t>Region</t>
  </si>
  <si>
    <t>Forecasted_Demand</t>
  </si>
  <si>
    <t>ID</t>
  </si>
  <si>
    <t>Timestamp</t>
  </si>
  <si>
    <t>Số lượng</t>
  </si>
  <si>
    <t>Loại (Nhập/Xuất)</t>
  </si>
  <si>
    <t>Kho</t>
  </si>
  <si>
    <t>Người thực hiện</t>
  </si>
  <si>
    <t>Tồn kho hiện tại</t>
  </si>
  <si>
    <t>Mức an toàn</t>
  </si>
  <si>
    <t>Mã Đơn Hàng</t>
  </si>
  <si>
    <t>Ngày</t>
  </si>
  <si>
    <t>Tháng</t>
  </si>
  <si>
    <t>Quý</t>
  </si>
  <si>
    <t>Khách hàng</t>
  </si>
  <si>
    <t>Mã Sản phẩm</t>
  </si>
  <si>
    <t>Khu vực</t>
  </si>
  <si>
    <t>Doanh thu</t>
  </si>
  <si>
    <t>Tiêu chí để tính tổng các sản phẩm và TB các sản phẩm</t>
  </si>
  <si>
    <t>Bảng trích xuất đơn hàng theo điều kiện:</t>
  </si>
  <si>
    <t>Bảng doanh số của hai chi nhánh gộp bằng Consolidate</t>
  </si>
  <si>
    <t>ORD1000</t>
  </si>
  <si>
    <t>Agent D</t>
  </si>
  <si>
    <t>1. Tổng số lượng sản phẩm và trung bình sản phẩm có mã:</t>
  </si>
  <si>
    <t xml:space="preserve">1. Tổng doanh số của từng khu vực </t>
  </si>
  <si>
    <t>ORD1001</t>
  </si>
  <si>
    <t>E-commerce E</t>
  </si>
  <si>
    <t>Tổng số lượng</t>
  </si>
  <si>
    <t xml:space="preserve">Trung bình </t>
  </si>
  <si>
    <t>ORD1002</t>
  </si>
  <si>
    <t>Shop A</t>
  </si>
  <si>
    <t>ORD1003</t>
  </si>
  <si>
    <t>Supermarket C</t>
  </si>
  <si>
    <t>2. Tổng số lượng sản phẩm và trung bình sản phẩm ở tháng:</t>
  </si>
  <si>
    <t>ORD1004</t>
  </si>
  <si>
    <t>Shop B</t>
  </si>
  <si>
    <t>2. Tổng doanh số của từng mã sản phẩm ở khu vực North</t>
  </si>
  <si>
    <t>ORD1005</t>
  </si>
  <si>
    <t>ORD1006</t>
  </si>
  <si>
    <t>3. Tổng số lượng sản phẩm và trung bình sản phẩm ở khu vực:</t>
  </si>
  <si>
    <t>ORD1007</t>
  </si>
  <si>
    <t>ORD1008</t>
  </si>
  <si>
    <t>ORD1009</t>
  </si>
  <si>
    <t>4. Tổng số lượng sản phẩm và TB sản phẩm được đặt bởi KH:</t>
  </si>
  <si>
    <t>3. Tổng doanh số của từng mã sản phẩm ở khu vực South</t>
  </si>
  <si>
    <t>ORD1010</t>
  </si>
  <si>
    <t>ORD1011</t>
  </si>
  <si>
    <t>ORD1012</t>
  </si>
  <si>
    <t>5. Tổng số lượng sản phẩm và TB sản phẩm của từng mã sản phẩm tại các khu vực:</t>
  </si>
  <si>
    <t>ORD1013</t>
  </si>
  <si>
    <t>ORD1014</t>
  </si>
  <si>
    <t>ORD1015</t>
  </si>
  <si>
    <t>6. Tổng số lượng sản phẩm và TB sản phẩm của từng mã sản phẩm đặt bởi các KH:</t>
  </si>
  <si>
    <t>ORD1016</t>
  </si>
  <si>
    <t>ORD1017</t>
  </si>
  <si>
    <t>ORD1018</t>
  </si>
  <si>
    <t>7. Tổng số lượng sản phẩm và TB sản phẩm của từng mã sản phẩm được đặt ở từng tháng:</t>
  </si>
  <si>
    <t>ORD1019</t>
  </si>
  <si>
    <t>ORD1020</t>
  </si>
  <si>
    <t>ORD1021</t>
  </si>
  <si>
    <t>8. Tổng số lượng sản phẩm và TB sản phẩm của từng mã sản phẩm được đặt bởi các KH ở từng khu vực:</t>
  </si>
  <si>
    <t>ORD1022</t>
  </si>
  <si>
    <t>ORD1023</t>
  </si>
  <si>
    <t>ORD1024</t>
  </si>
  <si>
    <t>9. Tổng số lượng sản phẩm và TB sản phẩm của từng mã sản phẩm được đặt ở từng tháng ở từng khu vực:</t>
  </si>
  <si>
    <t>ORD1025</t>
  </si>
  <si>
    <t>ORD1026</t>
  </si>
  <si>
    <t>ORD1027</t>
  </si>
  <si>
    <t>10. Tổng số lượng sản phẩm và TB sản phẩm được đặt bởi các khách hàng ở mỗi tháng tại từng khu vực:</t>
  </si>
  <si>
    <t>ORD1028</t>
  </si>
  <si>
    <t>ORD1029</t>
  </si>
  <si>
    <t>ORD1030</t>
  </si>
  <si>
    <t>11. Tổng SL và TB sản phẩm của từng mã sản phẩm được đặt bởi các khách hàng ở mỗi tháng tại từng khu vực:</t>
  </si>
  <si>
    <t>ORD1031</t>
  </si>
  <si>
    <t>ORD1032</t>
  </si>
  <si>
    <t>ORD1033</t>
  </si>
  <si>
    <t>ORD1034</t>
  </si>
  <si>
    <t>ORD1035</t>
  </si>
  <si>
    <t>ORD1036</t>
  </si>
  <si>
    <t>ORD1037</t>
  </si>
  <si>
    <t>ORD1038</t>
  </si>
  <si>
    <t>ORD1039</t>
  </si>
  <si>
    <t>ORD1040</t>
  </si>
  <si>
    <t>ORD1041</t>
  </si>
  <si>
    <t>ORD1042</t>
  </si>
  <si>
    <t>ORD1043</t>
  </si>
  <si>
    <t>ORD1044</t>
  </si>
  <si>
    <t>ORD1045</t>
  </si>
  <si>
    <t>ORD1046</t>
  </si>
  <si>
    <t>ORD1047</t>
  </si>
  <si>
    <t>ORD1048</t>
  </si>
  <si>
    <t>ORD1049</t>
  </si>
  <si>
    <t>ORD1050</t>
  </si>
  <si>
    <t>ORD1051</t>
  </si>
  <si>
    <t>ORD1052</t>
  </si>
  <si>
    <t>ORD1053</t>
  </si>
  <si>
    <t>ORD1054</t>
  </si>
  <si>
    <t>ORD1055</t>
  </si>
  <si>
    <t>ORD1056</t>
  </si>
  <si>
    <t>ORD1057</t>
  </si>
  <si>
    <t>ORD1058</t>
  </si>
  <si>
    <t>ORD1059</t>
  </si>
  <si>
    <t>ORD1060</t>
  </si>
  <si>
    <t>ORD1061</t>
  </si>
  <si>
    <t>ORD1062</t>
  </si>
  <si>
    <t>ORD1063</t>
  </si>
  <si>
    <t>ORD1064</t>
  </si>
  <si>
    <t>ORD1065</t>
  </si>
  <si>
    <t>ORD1066</t>
  </si>
  <si>
    <t>ORD1067</t>
  </si>
  <si>
    <t>ORD1068</t>
  </si>
  <si>
    <t>ORD1069</t>
  </si>
  <si>
    <t>ORD1070</t>
  </si>
  <si>
    <t>ORD1071</t>
  </si>
  <si>
    <t>ORD1072</t>
  </si>
  <si>
    <t>ORD1073</t>
  </si>
  <si>
    <t>ORD1074</t>
  </si>
  <si>
    <t>ORD1075</t>
  </si>
  <si>
    <t>ORD1076</t>
  </si>
  <si>
    <t>ORD1077</t>
  </si>
  <si>
    <t>ORD1078</t>
  </si>
  <si>
    <t>ORD1079</t>
  </si>
  <si>
    <t>ORD1080</t>
  </si>
  <si>
    <t>ORD1081</t>
  </si>
  <si>
    <t>ORD1082</t>
  </si>
  <si>
    <t>ORD1083</t>
  </si>
  <si>
    <t>ORD1084</t>
  </si>
  <si>
    <t>ORD1085</t>
  </si>
  <si>
    <t>ORD1086</t>
  </si>
  <si>
    <t>ORD1087</t>
  </si>
  <si>
    <t>ORD1088</t>
  </si>
  <si>
    <t>ORD1089</t>
  </si>
  <si>
    <t>ORD1090</t>
  </si>
  <si>
    <t>ORD1091</t>
  </si>
  <si>
    <t>ORD1092</t>
  </si>
  <si>
    <t>ORD1093</t>
  </si>
  <si>
    <t>ORD1094</t>
  </si>
  <si>
    <t>ORD1095</t>
  </si>
  <si>
    <t>ORD1096</t>
  </si>
  <si>
    <t>ORD1097</t>
  </si>
  <si>
    <t>ORD1098</t>
  </si>
  <si>
    <t>ORD1099</t>
  </si>
  <si>
    <t>ORD1100</t>
  </si>
  <si>
    <t>ORD1101</t>
  </si>
  <si>
    <t>ORD1102</t>
  </si>
  <si>
    <t>ORD1103</t>
  </si>
  <si>
    <t>ORD1104</t>
  </si>
  <si>
    <t>ORD1105</t>
  </si>
  <si>
    <t>ORD1106</t>
  </si>
  <si>
    <t>ORD1107</t>
  </si>
  <si>
    <t>ORD1108</t>
  </si>
  <si>
    <t>ORD1109</t>
  </si>
  <si>
    <t>ORD1110</t>
  </si>
  <si>
    <t>ORD1111</t>
  </si>
  <si>
    <t>ORD1112</t>
  </si>
  <si>
    <t>ORD1113</t>
  </si>
  <si>
    <t>ORD1114</t>
  </si>
  <si>
    <t>ORD1115</t>
  </si>
  <si>
    <t>ORD1116</t>
  </si>
  <si>
    <t>ORD1117</t>
  </si>
  <si>
    <t>ORD1118</t>
  </si>
  <si>
    <t>ORD1119</t>
  </si>
  <si>
    <t>ORD1120</t>
  </si>
  <si>
    <t>ORD1121</t>
  </si>
  <si>
    <t>ORD1122</t>
  </si>
  <si>
    <t>ORD1123</t>
  </si>
  <si>
    <t>ORD1124</t>
  </si>
  <si>
    <t>ORD1125</t>
  </si>
  <si>
    <t>ORD1126</t>
  </si>
  <si>
    <t>ORD1127</t>
  </si>
  <si>
    <t>ORD1128</t>
  </si>
  <si>
    <t>ORD1129</t>
  </si>
  <si>
    <t>ORD1130</t>
  </si>
  <si>
    <t>ORD1131</t>
  </si>
  <si>
    <t>ORD1132</t>
  </si>
  <si>
    <t>ORD1133</t>
  </si>
  <si>
    <t>ORD1134</t>
  </si>
  <si>
    <t>ORD1135</t>
  </si>
  <si>
    <t>ORD1136</t>
  </si>
  <si>
    <t>ORD1137</t>
  </si>
  <si>
    <t>ORD1138</t>
  </si>
  <si>
    <t>ORD1139</t>
  </si>
  <si>
    <t>ORD1140</t>
  </si>
  <si>
    <t>ORD1141</t>
  </si>
  <si>
    <t>ORD1142</t>
  </si>
  <si>
    <t>ORD1143</t>
  </si>
  <si>
    <t>ORD1144</t>
  </si>
  <si>
    <t>ORD1145</t>
  </si>
  <si>
    <t>ORD1146</t>
  </si>
  <si>
    <t>ORD1147</t>
  </si>
  <si>
    <t>ORD1148</t>
  </si>
  <si>
    <t>ORD1149</t>
  </si>
  <si>
    <t>ORD1150</t>
  </si>
  <si>
    <t>ORD1151</t>
  </si>
  <si>
    <t>ORD1152</t>
  </si>
  <si>
    <t>ORD1153</t>
  </si>
  <si>
    <t>ORD1154</t>
  </si>
  <si>
    <t>ORD1155</t>
  </si>
  <si>
    <t>ORD1156</t>
  </si>
  <si>
    <t>ORD1157</t>
  </si>
  <si>
    <t>ORD1158</t>
  </si>
  <si>
    <t>ORD1159</t>
  </si>
  <si>
    <t>ORD1160</t>
  </si>
  <si>
    <t>ORD1161</t>
  </si>
  <si>
    <t>ORD1162</t>
  </si>
  <si>
    <t>ORD1163</t>
  </si>
  <si>
    <t>ORD1164</t>
  </si>
  <si>
    <t>ORD1165</t>
  </si>
  <si>
    <t>ORD1166</t>
  </si>
  <si>
    <t>ORD1167</t>
  </si>
  <si>
    <t>ORD1168</t>
  </si>
  <si>
    <t>ORD1169</t>
  </si>
  <si>
    <t>ORD1170</t>
  </si>
  <si>
    <t>ORD1171</t>
  </si>
  <si>
    <t>ORD1172</t>
  </si>
  <si>
    <t>ORD1173</t>
  </si>
  <si>
    <t>ORD1174</t>
  </si>
  <si>
    <t>ORD1175</t>
  </si>
  <si>
    <t>ORD1176</t>
  </si>
  <si>
    <t>ORD1177</t>
  </si>
  <si>
    <t>ORD1178</t>
  </si>
  <si>
    <t>ORD1179</t>
  </si>
  <si>
    <t>ORD1180</t>
  </si>
  <si>
    <t>ORD1181</t>
  </si>
  <si>
    <t>ORD1182</t>
  </si>
  <si>
    <t>ORD1183</t>
  </si>
  <si>
    <t>ORD1184</t>
  </si>
  <si>
    <t>ORD1185</t>
  </si>
  <si>
    <t>ORD1186</t>
  </si>
  <si>
    <t>ORD1187</t>
  </si>
  <si>
    <t>ORD1188</t>
  </si>
  <si>
    <t>ORD1189</t>
  </si>
  <si>
    <t>ORD1190</t>
  </si>
  <si>
    <t>ORD1191</t>
  </si>
  <si>
    <t>ORD1192</t>
  </si>
  <si>
    <t>ORD1193</t>
  </si>
  <si>
    <t>ORD1194</t>
  </si>
  <si>
    <t>ORD1195</t>
  </si>
  <si>
    <t>ORD1196</t>
  </si>
  <si>
    <t>ORD1197</t>
  </si>
  <si>
    <t>ORD1198</t>
  </si>
  <si>
    <t>ORD1199</t>
  </si>
  <si>
    <t>ORD1200</t>
  </si>
  <si>
    <t>ORD1201</t>
  </si>
  <si>
    <t>ORD1202</t>
  </si>
  <si>
    <t>ORD1203</t>
  </si>
  <si>
    <t>ORD1204</t>
  </si>
  <si>
    <t>ORD1205</t>
  </si>
  <si>
    <t>ORD1206</t>
  </si>
  <si>
    <t>ORD1207</t>
  </si>
  <si>
    <t>ORD1208</t>
  </si>
  <si>
    <t>ORD1209</t>
  </si>
  <si>
    <t>ORD1210</t>
  </si>
  <si>
    <t>ORD1211</t>
  </si>
  <si>
    <t>ORD1212</t>
  </si>
  <si>
    <t>ORD1213</t>
  </si>
  <si>
    <t>ORD1214</t>
  </si>
  <si>
    <t>ORD1215</t>
  </si>
  <si>
    <t>ORD1216</t>
  </si>
  <si>
    <t>ORD1217</t>
  </si>
  <si>
    <t>ORD1218</t>
  </si>
  <si>
    <t>ORD1219</t>
  </si>
  <si>
    <t>ORD1220</t>
  </si>
  <si>
    <t>ORD1221</t>
  </si>
  <si>
    <t>ORD1222</t>
  </si>
  <si>
    <t>ORD1223</t>
  </si>
  <si>
    <t>ORD1224</t>
  </si>
  <si>
    <t>ORD1225</t>
  </si>
  <si>
    <t>ORD1226</t>
  </si>
  <si>
    <t>ORD1227</t>
  </si>
  <si>
    <t>ORD1228</t>
  </si>
  <si>
    <t>ORD1229</t>
  </si>
  <si>
    <t>ORD1230</t>
  </si>
  <si>
    <t>ORD1231</t>
  </si>
  <si>
    <t>ORD1232</t>
  </si>
  <si>
    <t>ORD1233</t>
  </si>
  <si>
    <t>ORD1234</t>
  </si>
  <si>
    <t>ORD1235</t>
  </si>
  <si>
    <t>ORD1236</t>
  </si>
  <si>
    <t>ORD1237</t>
  </si>
  <si>
    <t>ORD1238</t>
  </si>
  <si>
    <t>ORD1239</t>
  </si>
  <si>
    <t>ORD1240</t>
  </si>
  <si>
    <t>ORD1241</t>
  </si>
  <si>
    <t>ORD1242</t>
  </si>
  <si>
    <t>ORD1243</t>
  </si>
  <si>
    <t>ORD1244</t>
  </si>
  <si>
    <t>ORD1245</t>
  </si>
  <si>
    <t>ORD1246</t>
  </si>
  <si>
    <t>ORD1247</t>
  </si>
  <si>
    <t>ORD1248</t>
  </si>
  <si>
    <t>ORD1249</t>
  </si>
  <si>
    <t>ORD1250</t>
  </si>
  <si>
    <t>ORD1251</t>
  </si>
  <si>
    <t>ORD1252</t>
  </si>
  <si>
    <t>ORD1253</t>
  </si>
  <si>
    <t>ORD1254</t>
  </si>
  <si>
    <t>ORD1255</t>
  </si>
  <si>
    <t>ORD1256</t>
  </si>
  <si>
    <t>ORD1257</t>
  </si>
  <si>
    <t>ORD1258</t>
  </si>
  <si>
    <t>ORD1259</t>
  </si>
  <si>
    <t>ORD1260</t>
  </si>
  <si>
    <t>ORD1261</t>
  </si>
  <si>
    <t>ORD1262</t>
  </si>
  <si>
    <t>ORD1263</t>
  </si>
  <si>
    <t>ORD1264</t>
  </si>
  <si>
    <t>ORD1265</t>
  </si>
  <si>
    <t>ORD1266</t>
  </si>
  <si>
    <t>ORD1267</t>
  </si>
  <si>
    <t>ORD1268</t>
  </si>
  <si>
    <t>ORD1269</t>
  </si>
  <si>
    <t>ORD1270</t>
  </si>
  <si>
    <t>ORD1271</t>
  </si>
  <si>
    <t>ORD1272</t>
  </si>
  <si>
    <t>ORD1273</t>
  </si>
  <si>
    <t>ORD1274</t>
  </si>
  <si>
    <t>ORD1275</t>
  </si>
  <si>
    <t>ORD1276</t>
  </si>
  <si>
    <t>ORD1277</t>
  </si>
  <si>
    <t>ORD1278</t>
  </si>
  <si>
    <t>ORD1279</t>
  </si>
  <si>
    <t>ORD1280</t>
  </si>
  <si>
    <t>ORD1281</t>
  </si>
  <si>
    <t>ORD1282</t>
  </si>
  <si>
    <t>ORD1283</t>
  </si>
  <si>
    <t>ORD1284</t>
  </si>
  <si>
    <t>ORD1285</t>
  </si>
  <si>
    <t>ORD1286</t>
  </si>
  <si>
    <t>ORD1287</t>
  </si>
  <si>
    <t>ORD1288</t>
  </si>
  <si>
    <t>ORD1289</t>
  </si>
  <si>
    <t>ORD1290</t>
  </si>
  <si>
    <t>ORD1291</t>
  </si>
  <si>
    <t>ORD1292</t>
  </si>
  <si>
    <t>ORD1293</t>
  </si>
  <si>
    <t>ORD1294</t>
  </si>
  <si>
    <t>ORD1295</t>
  </si>
  <si>
    <t>ORD1296</t>
  </si>
  <si>
    <t>ORD1297</t>
  </si>
  <si>
    <t>ORD1298</t>
  </si>
  <si>
    <t>ORD1299</t>
  </si>
  <si>
    <t>ORD1300</t>
  </si>
  <si>
    <t>ORD1301</t>
  </si>
  <si>
    <t>ORD1302</t>
  </si>
  <si>
    <t>ORD1303</t>
  </si>
  <si>
    <t>ORD1304</t>
  </si>
  <si>
    <t>ORD1305</t>
  </si>
  <si>
    <t>ORD1306</t>
  </si>
  <si>
    <t>ORD1307</t>
  </si>
  <si>
    <t>ORD1308</t>
  </si>
  <si>
    <t>ORD1309</t>
  </si>
  <si>
    <t>ORD1310</t>
  </si>
  <si>
    <t>ORD1311</t>
  </si>
  <si>
    <t>ORD1312</t>
  </si>
  <si>
    <t>ORD1313</t>
  </si>
  <si>
    <t>ORD1314</t>
  </si>
  <si>
    <t>ORD1315</t>
  </si>
  <si>
    <t>ORD1316</t>
  </si>
  <si>
    <t>ORD1317</t>
  </si>
  <si>
    <t>ORD1318</t>
  </si>
  <si>
    <t>ORD1319</t>
  </si>
  <si>
    <t>ORD1320</t>
  </si>
  <si>
    <t>ORD1321</t>
  </si>
  <si>
    <t>ORD1322</t>
  </si>
  <si>
    <t>ORD1323</t>
  </si>
  <si>
    <t>ORD1324</t>
  </si>
  <si>
    <t>ORD1325</t>
  </si>
  <si>
    <t>ORD1326</t>
  </si>
  <si>
    <t>ORD1327</t>
  </si>
  <si>
    <t>ORD1328</t>
  </si>
  <si>
    <t>ORD1329</t>
  </si>
  <si>
    <t>ORD1330</t>
  </si>
  <si>
    <t>ORD1331</t>
  </si>
  <si>
    <t>ORD1332</t>
  </si>
  <si>
    <t>ORD1333</t>
  </si>
  <si>
    <t>ORD1334</t>
  </si>
  <si>
    <t>ORD1335</t>
  </si>
  <si>
    <t>ORD1336</t>
  </si>
  <si>
    <t>ORD1337</t>
  </si>
  <si>
    <t>ORD1338</t>
  </si>
  <si>
    <t>ORD1339</t>
  </si>
  <si>
    <t>ORD1340</t>
  </si>
  <si>
    <t>ORD1341</t>
  </si>
  <si>
    <t>ORD1342</t>
  </si>
  <si>
    <t>ORD1343</t>
  </si>
  <si>
    <t>ORD1344</t>
  </si>
  <si>
    <t>ORD1345</t>
  </si>
  <si>
    <t>ORD1346</t>
  </si>
  <si>
    <t>ORD1347</t>
  </si>
  <si>
    <t>ORD1348</t>
  </si>
  <si>
    <t>ORD1349</t>
  </si>
  <si>
    <t>ORD1350</t>
  </si>
  <si>
    <t>ORD1351</t>
  </si>
  <si>
    <t>ORD1352</t>
  </si>
  <si>
    <t>ORD1353</t>
  </si>
  <si>
    <t>ORD1354</t>
  </si>
  <si>
    <t>ORD1355</t>
  </si>
  <si>
    <t>ORD1356</t>
  </si>
  <si>
    <t>ORD1357</t>
  </si>
  <si>
    <t>ORD1358</t>
  </si>
  <si>
    <t>ORD1359</t>
  </si>
  <si>
    <t>ORD1360</t>
  </si>
  <si>
    <t>ORD1361</t>
  </si>
  <si>
    <t>ORD1362</t>
  </si>
  <si>
    <t>ORD1363</t>
  </si>
  <si>
    <t>ORD1364</t>
  </si>
  <si>
    <t>ORD1365</t>
  </si>
  <si>
    <t>ORD1366</t>
  </si>
  <si>
    <t>ORD1367</t>
  </si>
  <si>
    <t>ORD1368</t>
  </si>
  <si>
    <t>ORD1369</t>
  </si>
  <si>
    <t>ORD1370</t>
  </si>
  <si>
    <t>ORD1371</t>
  </si>
  <si>
    <t>ORD1372</t>
  </si>
  <si>
    <t>ORD1373</t>
  </si>
  <si>
    <t>ORD1374</t>
  </si>
  <si>
    <t>ORD1375</t>
  </si>
  <si>
    <t>ORD1376</t>
  </si>
  <si>
    <t>ORD1377</t>
  </si>
  <si>
    <t>ORD1378</t>
  </si>
  <si>
    <t>ORD1379</t>
  </si>
  <si>
    <t>ORD1380</t>
  </si>
  <si>
    <t>ORD1381</t>
  </si>
  <si>
    <t>ORD1382</t>
  </si>
  <si>
    <t>ORD1383</t>
  </si>
  <si>
    <t>ORD1384</t>
  </si>
  <si>
    <t>ORD1385</t>
  </si>
  <si>
    <t>ORD1386</t>
  </si>
  <si>
    <t>ORD1387</t>
  </si>
  <si>
    <t>ORD1388</t>
  </si>
  <si>
    <t>ORD1389</t>
  </si>
  <si>
    <t>ORD1390</t>
  </si>
  <si>
    <t>ORD1391</t>
  </si>
  <si>
    <t>ORD1392</t>
  </si>
  <si>
    <t>ORD1393</t>
  </si>
  <si>
    <t>ORD1394</t>
  </si>
  <si>
    <t>ORD1395</t>
  </si>
  <si>
    <t>ORD1396</t>
  </si>
  <si>
    <t>ORD1397</t>
  </si>
  <si>
    <t>ORD1398</t>
  </si>
  <si>
    <t>ORD1399</t>
  </si>
  <si>
    <t>ORD1400</t>
  </si>
  <si>
    <t>ORD1401</t>
  </si>
  <si>
    <t>ORD1402</t>
  </si>
  <si>
    <t>ORD1403</t>
  </si>
  <si>
    <t>ORD1404</t>
  </si>
  <si>
    <t>ORD1405</t>
  </si>
  <si>
    <t>ORD1406</t>
  </si>
  <si>
    <t>ORD1407</t>
  </si>
  <si>
    <t>ORD1408</t>
  </si>
  <si>
    <t>ORD1409</t>
  </si>
  <si>
    <t>ORD1410</t>
  </si>
  <si>
    <t>ORD1411</t>
  </si>
  <si>
    <t>ORD1412</t>
  </si>
  <si>
    <t>ORD1413</t>
  </si>
  <si>
    <t>ORD1414</t>
  </si>
  <si>
    <t>ORD1415</t>
  </si>
  <si>
    <t>ORD1416</t>
  </si>
  <si>
    <t>ORD1417</t>
  </si>
  <si>
    <t>ORD1418</t>
  </si>
  <si>
    <t>ORD1419</t>
  </si>
  <si>
    <t>ORD1420</t>
  </si>
  <si>
    <t>ORD1421</t>
  </si>
  <si>
    <t>ORD1422</t>
  </si>
  <si>
    <t>ORD1423</t>
  </si>
  <si>
    <t>ORD1424</t>
  </si>
  <si>
    <t>ORD1425</t>
  </si>
  <si>
    <t>ORD1426</t>
  </si>
  <si>
    <t>ORD1427</t>
  </si>
  <si>
    <t>ORD1428</t>
  </si>
  <si>
    <t>ORD1429</t>
  </si>
  <si>
    <t>ORD1430</t>
  </si>
  <si>
    <t>ORD1431</t>
  </si>
  <si>
    <t>ORD1432</t>
  </si>
  <si>
    <t>ORD1433</t>
  </si>
  <si>
    <t>ORD1434</t>
  </si>
  <si>
    <t>ORD1435</t>
  </si>
  <si>
    <t>ORD1436</t>
  </si>
  <si>
    <t>ORD1437</t>
  </si>
  <si>
    <t>ORD1438</t>
  </si>
  <si>
    <t>ORD1439</t>
  </si>
  <si>
    <t>ORD1440</t>
  </si>
  <si>
    <t>ORD1441</t>
  </si>
  <si>
    <t>ORD1442</t>
  </si>
  <si>
    <t>ORD1443</t>
  </si>
  <si>
    <t>ORD1444</t>
  </si>
  <si>
    <t>ORD1445</t>
  </si>
  <si>
    <t>ORD1446</t>
  </si>
  <si>
    <t>ORD1447</t>
  </si>
  <si>
    <t>ORD1448</t>
  </si>
  <si>
    <t>ORD1449</t>
  </si>
  <si>
    <t>ORD1450</t>
  </si>
  <si>
    <t>ORD1451</t>
  </si>
  <si>
    <t>ORD1452</t>
  </si>
  <si>
    <t>ORD1453</t>
  </si>
  <si>
    <t>ORD1454</t>
  </si>
  <si>
    <t>ORD1455</t>
  </si>
  <si>
    <t>ORD1456</t>
  </si>
  <si>
    <t>ORD1457</t>
  </si>
  <si>
    <t>ORD1458</t>
  </si>
  <si>
    <t>ORD1459</t>
  </si>
  <si>
    <t>ORD1460</t>
  </si>
  <si>
    <t>ORD1461</t>
  </si>
  <si>
    <t>ORD1462</t>
  </si>
  <si>
    <t>ORD1463</t>
  </si>
  <si>
    <t>ORD1464</t>
  </si>
  <si>
    <t>ORD1465</t>
  </si>
  <si>
    <t>ORD1466</t>
  </si>
  <si>
    <t>ORD1467</t>
  </si>
  <si>
    <t>ORD1468</t>
  </si>
  <si>
    <t>ORD1469</t>
  </si>
  <si>
    <t>ORD1470</t>
  </si>
  <si>
    <t>ORD1471</t>
  </si>
  <si>
    <t>ORD1472</t>
  </si>
  <si>
    <t>ORD1473</t>
  </si>
  <si>
    <t>ORD1474</t>
  </si>
  <si>
    <t>ORD1475</t>
  </si>
  <si>
    <t>ORD1476</t>
  </si>
  <si>
    <t>ORD1477</t>
  </si>
  <si>
    <t>ORD1478</t>
  </si>
  <si>
    <t>ORD1479</t>
  </si>
  <si>
    <t>Tổng của Số lượng</t>
  </si>
  <si>
    <t>Tổng của Doanh thu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</si>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</sst>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3"/>
      <color theme="1"/>
      <name val="Times New Roman"/>
      <family val="2"/>
      <charset val="163"/>
    </font>
    <font>
      <sz val="11"/>
      <color theme="1"/>
      <name val="Arial"/>
      <family val="2"/>
      <scheme val="minor"/>
    </font>
    <font>
      <b/>
      <sz val="13"/>
      <color theme="1"/>
      <name val="Times New Roman"/>
      <family val="1"/>
    </font>
    <font>
      <sz val="13"/>
      <color theme="1"/>
      <name val="Times New Roman"/>
      <family val="1"/>
    </font>
    <font>
      <sz val="13"/>
      <color rgb="FF000000"/>
      <name val="Times New Roman"/>
      <family val="1"/>
    </font>
    <font>
      <b/>
      <sz val="13"/>
      <color rgb="FF000000"/>
      <name val="Times New Roman"/>
      <family val="1"/>
    </font>
    <font>
      <b/>
      <sz val="13"/>
      <color rgb="FF000000"/>
      <name val="Times New Roman"/>
      <family val="2"/>
    </font>
    <font>
      <sz val="13"/>
      <color rgb="FF000000"/>
      <name val="Times New Roman"/>
      <family val="1"/>
      <charset val="163"/>
    </font>
    <font>
      <b/>
      <sz val="13"/>
      <color rgb="FF000000"/>
      <name val="Times New Roman"/>
      <family val="1"/>
      <charset val="163"/>
    </font>
    <font>
      <b/>
      <sz val="13"/>
      <name val="Times New Roman"/>
      <family val="1"/>
    </font>
    <font>
      <sz val="13"/>
      <name val="Times New Roman"/>
      <family val="1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rgb="FF196B2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51">
    <xf numFmtId="0" fontId="0" fillId="0" borderId="0" xfId="0"/>
    <xf numFmtId="0" fontId="1" fillId="0" borderId="0" xfId="1"/>
    <xf numFmtId="0" fontId="3" fillId="0" borderId="0" xfId="0" applyFont="1"/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0" fontId="3" fillId="0" borderId="0" xfId="1" applyFont="1" applyAlignment="1">
      <alignment horizontal="center" vertical="center" wrapText="1"/>
    </xf>
    <xf numFmtId="0" fontId="0" fillId="0" borderId="1" xfId="0" applyBorder="1"/>
    <xf numFmtId="0" fontId="7" fillId="0" borderId="4" xfId="0" applyFont="1" applyBorder="1"/>
    <xf numFmtId="14" fontId="7" fillId="0" borderId="0" xfId="0" applyNumberFormat="1" applyFont="1"/>
    <xf numFmtId="0" fontId="7" fillId="0" borderId="0" xfId="0" applyFont="1"/>
    <xf numFmtId="0" fontId="8" fillId="2" borderId="3" xfId="0" applyFont="1" applyFill="1" applyBorder="1" applyAlignment="1">
      <alignment horizontal="center"/>
    </xf>
    <xf numFmtId="14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14" fontId="4" fillId="0" borderId="0" xfId="0" applyNumberFormat="1" applyFont="1"/>
    <xf numFmtId="0" fontId="9" fillId="2" borderId="2" xfId="1" applyFont="1" applyFill="1" applyBorder="1" applyAlignment="1">
      <alignment horizontal="center" vertical="top"/>
    </xf>
    <xf numFmtId="0" fontId="10" fillId="0" borderId="0" xfId="1" applyFont="1"/>
    <xf numFmtId="0" fontId="9" fillId="2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1" fontId="0" fillId="0" borderId="1" xfId="0" applyNumberFormat="1" applyBorder="1"/>
    <xf numFmtId="0" fontId="0" fillId="0" borderId="1" xfId="0" applyBorder="1" applyAlignment="1">
      <alignment horizontal="center"/>
    </xf>
    <xf numFmtId="0" fontId="8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14" fontId="8" fillId="3" borderId="1" xfId="0" applyNumberFormat="1" applyFont="1" applyFill="1" applyBorder="1" applyAlignment="1">
      <alignment horizontal="center"/>
    </xf>
    <xf numFmtId="0" fontId="7" fillId="0" borderId="1" xfId="0" applyFont="1" applyBorder="1"/>
    <xf numFmtId="0" fontId="6" fillId="0" borderId="0" xfId="0" applyFont="1" applyAlignment="1">
      <alignment horizontal="left"/>
    </xf>
    <xf numFmtId="1" fontId="7" fillId="0" borderId="1" xfId="0" applyNumberFormat="1" applyFont="1" applyBorder="1"/>
    <xf numFmtId="1" fontId="8" fillId="2" borderId="2" xfId="0" applyNumberFormat="1" applyFont="1" applyFill="1" applyBorder="1" applyAlignment="1">
      <alignment horizontal="center"/>
    </xf>
    <xf numFmtId="1" fontId="7" fillId="0" borderId="0" xfId="0" applyNumberFormat="1" applyFont="1"/>
    <xf numFmtId="1" fontId="0" fillId="0" borderId="0" xfId="0" applyNumberFormat="1"/>
    <xf numFmtId="0" fontId="11" fillId="0" borderId="0" xfId="1" applyFont="1"/>
    <xf numFmtId="0" fontId="2" fillId="2" borderId="1" xfId="1" applyFont="1" applyFill="1" applyBorder="1" applyAlignment="1">
      <alignment horizontal="center" vertical="center"/>
    </xf>
    <xf numFmtId="0" fontId="12" fillId="0" borderId="0" xfId="1" applyFont="1"/>
    <xf numFmtId="1" fontId="5" fillId="2" borderId="2" xfId="0" applyNumberFormat="1" applyFont="1" applyFill="1" applyBorder="1" applyAlignment="1">
      <alignment horizontal="center"/>
    </xf>
    <xf numFmtId="1" fontId="4" fillId="0" borderId="0" xfId="0" applyNumberFormat="1" applyFont="1"/>
    <xf numFmtId="0" fontId="8" fillId="6" borderId="1" xfId="0" applyFont="1" applyFill="1" applyBorder="1" applyAlignment="1">
      <alignment horizontal="center"/>
    </xf>
    <xf numFmtId="14" fontId="8" fillId="6" borderId="1" xfId="0" applyNumberFormat="1" applyFont="1" applyFill="1" applyBorder="1" applyAlignment="1">
      <alignment horizontal="center"/>
    </xf>
    <xf numFmtId="1" fontId="8" fillId="6" borderId="1" xfId="0" applyNumberFormat="1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8" fillId="8" borderId="5" xfId="0" applyFont="1" applyFill="1" applyBorder="1" applyAlignment="1">
      <alignment horizontal="center"/>
    </xf>
    <xf numFmtId="1" fontId="8" fillId="8" borderId="1" xfId="0" applyNumberFormat="1" applyFont="1" applyFill="1" applyBorder="1" applyAlignment="1">
      <alignment horizontal="center"/>
    </xf>
    <xf numFmtId="1" fontId="5" fillId="6" borderId="1" xfId="0" applyNumberFormat="1" applyFont="1" applyFill="1" applyBorder="1" applyAlignment="1">
      <alignment horizontal="center"/>
    </xf>
    <xf numFmtId="0" fontId="2" fillId="0" borderId="0" xfId="0" applyFont="1"/>
    <xf numFmtId="0" fontId="13" fillId="7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13" fillId="4" borderId="0" xfId="0" applyFont="1" applyFill="1" applyAlignment="1">
      <alignment horizontal="center" wrapText="1"/>
    </xf>
    <xf numFmtId="0" fontId="13" fillId="5" borderId="0" xfId="0" applyFont="1" applyFill="1" applyAlignment="1">
      <alignment horizontal="center"/>
    </xf>
  </cellXfs>
  <cellStyles count="2">
    <cellStyle name="Bình thường" xfId="0" builtinId="0"/>
    <cellStyle name="Normal 2" xfId="1" xr:uid="{00000000-0005-0000-0000-000001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000000"/>
        <name val="Times New Roman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  <fill>
        <patternFill patternType="solid">
          <fgColor indexed="64"/>
          <bgColor theme="9" tint="0.79998168889431442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auto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  <fill>
        <patternFill patternType="solid">
          <fgColor indexed="64"/>
          <bgColor theme="9" tint="0.79998168889431442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auto="1"/>
        <name val="Times New Roman"/>
        <scheme val="none"/>
      </font>
      <fill>
        <patternFill patternType="solid">
          <fgColor indexed="64"/>
          <bgColor theme="9" tint="0.79998168889431442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4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[252_TN-UDMT_Nhóm 1.xlsm]Dashboard!PivotTable9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/>
              <a:t>Sản lượng sản phẩm theo tháng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971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7531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Dashboard!$AC$10:$AC$11</c:f>
              <c:strCache>
                <c:ptCount val="1"/>
                <c:pt idx="0">
                  <c:v>AS002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Dashboard!$AB$12:$AB$15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Dashboard!$AC$12:$AC$15</c:f>
              <c:numCache>
                <c:formatCode>0</c:formatCode>
                <c:ptCount val="3"/>
                <c:pt idx="0">
                  <c:v>3922</c:v>
                </c:pt>
                <c:pt idx="1">
                  <c:v>3956</c:v>
                </c:pt>
                <c:pt idx="2">
                  <c:v>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2-48C6-AF9C-EAF80B8C5787}"/>
            </c:ext>
          </c:extLst>
        </c:ser>
        <c:ser>
          <c:idx val="1"/>
          <c:order val="1"/>
          <c:tx>
            <c:strRef>
              <c:f>Dashboard!$AD$10:$AD$11</c:f>
              <c:strCache>
                <c:ptCount val="1"/>
                <c:pt idx="0">
                  <c:v>AT001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cat>
            <c:strRef>
              <c:f>Dashboard!$AB$12:$AB$15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Dashboard!$AD$12:$AD$15</c:f>
              <c:numCache>
                <c:formatCode>0</c:formatCode>
                <c:ptCount val="3"/>
                <c:pt idx="0">
                  <c:v>4730</c:v>
                </c:pt>
                <c:pt idx="1">
                  <c:v>3423</c:v>
                </c:pt>
                <c:pt idx="2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3F-40BB-A5B3-4F6ACFAE5E2B}"/>
            </c:ext>
          </c:extLst>
        </c:ser>
        <c:ser>
          <c:idx val="2"/>
          <c:order val="2"/>
          <c:tx>
            <c:strRef>
              <c:f>Dashboard!$AE$10:$AE$11</c:f>
              <c:strCache>
                <c:ptCount val="1"/>
                <c:pt idx="0">
                  <c:v>QT003</c:v>
                </c:pt>
              </c:strCache>
            </c:strRef>
          </c:tx>
          <c:spPr>
            <a:solidFill>
              <a:srgbClr val="275317"/>
            </a:solidFill>
            <a:ln>
              <a:noFill/>
            </a:ln>
            <a:effectLst/>
          </c:spPr>
          <c:invertIfNegative val="0"/>
          <c:cat>
            <c:strRef>
              <c:f>Dashboard!$AB$12:$AB$15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Dashboard!$AE$12:$AE$15</c:f>
              <c:numCache>
                <c:formatCode>0</c:formatCode>
                <c:ptCount val="3"/>
                <c:pt idx="0">
                  <c:v>4273</c:v>
                </c:pt>
                <c:pt idx="1">
                  <c:v>4125</c:v>
                </c:pt>
                <c:pt idx="2">
                  <c:v>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69-44DB-880A-778C330F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6797448"/>
        <c:axId val="1076800008"/>
      </c:barChart>
      <c:catAx>
        <c:axId val="107679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800008"/>
        <c:crosses val="autoZero"/>
        <c:auto val="1"/>
        <c:lblAlgn val="ctr"/>
        <c:lblOffset val="100"/>
        <c:noMultiLvlLbl val="0"/>
      </c:catAx>
      <c:valAx>
        <c:axId val="107680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797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[252_TN-UDMT_Nhóm 1.xlsm]Dashboard!PivotTable11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/>
              <a:t>Sản lượng sản phẩm theo khu vực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971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7531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971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27531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Dashboard!$AC$17:$AC$18</c:f>
              <c:strCache>
                <c:ptCount val="1"/>
                <c:pt idx="0">
                  <c:v>AS002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Dashboard!$AB$19:$AB$21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Dashboard!$AC$19:$AC$21</c:f>
              <c:numCache>
                <c:formatCode>0</c:formatCode>
                <c:ptCount val="2"/>
                <c:pt idx="0">
                  <c:v>3780</c:v>
                </c:pt>
                <c:pt idx="1">
                  <c:v>4304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7-4A73-BA6C-5783D43F09D0}"/>
            </c:ext>
          </c:extLst>
        </c:ser>
        <c:ser>
          <c:idx val="1"/>
          <c:order val="1"/>
          <c:tx>
            <c:strRef>
              <c:f>Dashboard!$AD$17:$AD$18</c:f>
              <c:strCache>
                <c:ptCount val="1"/>
                <c:pt idx="0">
                  <c:v>AT001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cat>
            <c:strRef>
              <c:f>Dashboard!$AB$19:$AB$21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Dashboard!$AD$19:$AD$21</c:f>
              <c:numCache>
                <c:formatCode>0</c:formatCode>
                <c:ptCount val="2"/>
                <c:pt idx="0">
                  <c:v>4001</c:v>
                </c:pt>
                <c:pt idx="1">
                  <c:v>4883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FB-46A7-9A4F-5F9A664E0629}"/>
            </c:ext>
          </c:extLst>
        </c:ser>
        <c:ser>
          <c:idx val="2"/>
          <c:order val="2"/>
          <c:tx>
            <c:strRef>
              <c:f>Dashboard!$AE$17:$AE$18</c:f>
              <c:strCache>
                <c:ptCount val="1"/>
                <c:pt idx="0">
                  <c:v>QT003</c:v>
                </c:pt>
              </c:strCache>
            </c:strRef>
          </c:tx>
          <c:spPr>
            <a:solidFill>
              <a:srgbClr val="275317"/>
            </a:solidFill>
            <a:ln>
              <a:noFill/>
            </a:ln>
            <a:effectLst/>
          </c:spPr>
          <c:invertIfNegative val="0"/>
          <c:cat>
            <c:strRef>
              <c:f>Dashboard!$AB$19:$AB$21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Dashboard!$AE$19:$AE$21</c:f>
              <c:numCache>
                <c:formatCode>0</c:formatCode>
                <c:ptCount val="2"/>
                <c:pt idx="0">
                  <c:v>5027</c:v>
                </c:pt>
                <c:pt idx="1">
                  <c:v>3892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41-4CFD-B06E-6B6C7026B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7646344"/>
        <c:axId val="1077648392"/>
      </c:barChart>
      <c:catAx>
        <c:axId val="1077646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648392"/>
        <c:crosses val="autoZero"/>
        <c:auto val="1"/>
        <c:lblAlgn val="ctr"/>
        <c:lblOffset val="100"/>
        <c:noMultiLvlLbl val="0"/>
      </c:catAx>
      <c:valAx>
        <c:axId val="107764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646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[252_TN-UDMT_Nhóm 1.xlsm]Dashboard!PivotTable13</c:name>
    <c:fmtId val="0"/>
  </c:pivotSource>
  <c:chart>
    <c:autoTitleDeleted val="1"/>
    <c:pivotFmts>
      <c:pivotFmt>
        <c:idx val="0"/>
        <c:spPr>
          <a:solidFill>
            <a:srgbClr val="78217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7C7AC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747474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8ED973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4D93D9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78217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78217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78217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78217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C7AC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747474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8ED973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4D93D9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78217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Dashboard!$AI$1</c:f>
              <c:strCache>
                <c:ptCount val="1"/>
                <c:pt idx="0">
                  <c:v>Tổng</c:v>
                </c:pt>
              </c:strCache>
            </c:strRef>
          </c:tx>
          <c:spPr>
            <a:solidFill>
              <a:srgbClr val="782170"/>
            </a:solidFill>
          </c:spPr>
          <c:dPt>
            <c:idx val="0"/>
            <c:bubble3D val="0"/>
            <c:spPr>
              <a:solidFill>
                <a:srgbClr val="F7C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2B-445A-80A8-E075AD8FD589}"/>
              </c:ext>
            </c:extLst>
          </c:dPt>
          <c:dPt>
            <c:idx val="1"/>
            <c:bubble3D val="0"/>
            <c:spPr>
              <a:solidFill>
                <a:srgbClr val="74747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2B-445A-80A8-E075AD8FD589}"/>
              </c:ext>
            </c:extLst>
          </c:dPt>
          <c:dPt>
            <c:idx val="2"/>
            <c:bubble3D val="0"/>
            <c:spPr>
              <a:solidFill>
                <a:srgbClr val="8ED9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2B-445A-80A8-E075AD8FD589}"/>
              </c:ext>
            </c:extLst>
          </c:dPt>
          <c:dPt>
            <c:idx val="3"/>
            <c:bubble3D val="0"/>
            <c:spPr>
              <a:solidFill>
                <a:srgbClr val="4D93D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2B-445A-80A8-E075AD8FD589}"/>
              </c:ext>
            </c:extLst>
          </c:dPt>
          <c:dPt>
            <c:idx val="4"/>
            <c:bubble3D val="0"/>
            <c:spPr>
              <a:solidFill>
                <a:srgbClr val="78217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2B-445A-80A8-E075AD8FD5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Dashboard!$AH$2:$AH$7</c:f>
              <c:strCache>
                <c:ptCount val="5"/>
                <c:pt idx="0">
                  <c:v>Agent D</c:v>
                </c:pt>
                <c:pt idx="1">
                  <c:v>E-commerce E</c:v>
                </c:pt>
                <c:pt idx="2">
                  <c:v>Shop A</c:v>
                </c:pt>
                <c:pt idx="3">
                  <c:v>Shop B</c:v>
                </c:pt>
                <c:pt idx="4">
                  <c:v>Supermarket C</c:v>
                </c:pt>
              </c:strCache>
            </c:strRef>
          </c:cat>
          <c:val>
            <c:numRef>
              <c:f>Dashboard!$AI$2:$AI$7</c:f>
              <c:numCache>
                <c:formatCode>0</c:formatCode>
                <c:ptCount val="5"/>
                <c:pt idx="0">
                  <c:v>5851</c:v>
                </c:pt>
                <c:pt idx="1">
                  <c:v>4613</c:v>
                </c:pt>
                <c:pt idx="2">
                  <c:v>4971</c:v>
                </c:pt>
                <c:pt idx="3">
                  <c:v>5412</c:v>
                </c:pt>
                <c:pt idx="4">
                  <c:v>5040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18-4F49-9209-A20AE4BBA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[252_TN-UDMT_Nhóm 1.xlsm]Dashboard!PivotTable14</c:name>
    <c:fmtId val="0"/>
  </c:pivotSource>
  <c:chart>
    <c:autoTitleDeleted val="1"/>
    <c:pivotFmts>
      <c:pivotFmt>
        <c:idx val="0"/>
        <c:spPr>
          <a:solidFill>
            <a:srgbClr val="275317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E9713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275317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275317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E9713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275317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275317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E9713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275317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Dashboard!$AI$10</c:f>
              <c:strCache>
                <c:ptCount val="1"/>
                <c:pt idx="0">
                  <c:v>Tổng</c:v>
                </c:pt>
              </c:strCache>
            </c:strRef>
          </c:tx>
          <c:spPr>
            <a:solidFill>
              <a:srgbClr val="275317"/>
            </a:solidFill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0F-4CE9-8F58-9DFB82951EEC}"/>
              </c:ext>
            </c:extLst>
          </c:dPt>
          <c:dPt>
            <c:idx val="1"/>
            <c:bubble3D val="0"/>
            <c:spPr>
              <a:solidFill>
                <a:srgbClr val="E9713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EC-4B26-852D-7FF503C7EDD6}"/>
              </c:ext>
            </c:extLst>
          </c:dPt>
          <c:dPt>
            <c:idx val="2"/>
            <c:bubble3D val="0"/>
            <c:spPr>
              <a:solidFill>
                <a:srgbClr val="2753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EC-4B26-852D-7FF503C7ED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Dashboard!$AH$11:$AH$14</c:f>
              <c:strCache>
                <c:ptCount val="3"/>
                <c:pt idx="0">
                  <c:v>AS002</c:v>
                </c:pt>
                <c:pt idx="1">
                  <c:v>AT001</c:v>
                </c:pt>
                <c:pt idx="2">
                  <c:v>QT003</c:v>
                </c:pt>
              </c:strCache>
            </c:strRef>
          </c:cat>
          <c:val>
            <c:numRef>
              <c:f>Dashboard!$AI$11:$AI$14</c:f>
              <c:numCache>
                <c:formatCode>0</c:formatCode>
                <c:ptCount val="3"/>
                <c:pt idx="0">
                  <c:v>8084</c:v>
                </c:pt>
                <c:pt idx="1">
                  <c:v>8884</c:v>
                </c:pt>
                <c:pt idx="2">
                  <c:v>8919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0F-4CE9-8F58-9DFB8295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[252_TN-UDMT_Nhóm 1.xlsm]Dashboard!PivotTable15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/>
              <a:t>Sản lượng sản phẩm theo ngày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61CBF3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E97132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FFFF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275317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B5E6A2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61CBF3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E97132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FFFF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275317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B5E6A2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61CBF3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rgbClr val="E97132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FFFF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275317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B5E6A2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61CBF3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E97132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FFFF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rgbClr val="275317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B5E6A2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61CBF3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rgbClr val="E97132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FFFF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275317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B5E6A2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Dashboard!$R$1:$R$2</c:f>
              <c:strCache>
                <c:ptCount val="1"/>
                <c:pt idx="0">
                  <c:v>AS002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Dashboard!$Q$3:$Q$64</c:f>
              <c:strCache>
                <c:ptCount val="61"/>
                <c:pt idx="0">
                  <c:v>01/01/2025</c:v>
                </c:pt>
                <c:pt idx="1">
                  <c:v>02/01/2025</c:v>
                </c:pt>
                <c:pt idx="2">
                  <c:v>03/01/2025</c:v>
                </c:pt>
                <c:pt idx="3">
                  <c:v>04/01/2025</c:v>
                </c:pt>
                <c:pt idx="4">
                  <c:v>05/01/2025</c:v>
                </c:pt>
                <c:pt idx="5">
                  <c:v>06/01/2025</c:v>
                </c:pt>
                <c:pt idx="6">
                  <c:v>07/01/2025</c:v>
                </c:pt>
                <c:pt idx="7">
                  <c:v>08/01/2025</c:v>
                </c:pt>
                <c:pt idx="8">
                  <c:v>09/01/2025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  <c:pt idx="31">
                  <c:v>01/02/2025</c:v>
                </c:pt>
                <c:pt idx="32">
                  <c:v>02/02/2025</c:v>
                </c:pt>
                <c:pt idx="33">
                  <c:v>03/02/2025</c:v>
                </c:pt>
                <c:pt idx="34">
                  <c:v>04/02/2025</c:v>
                </c:pt>
                <c:pt idx="35">
                  <c:v>05/02/2025</c:v>
                </c:pt>
                <c:pt idx="36">
                  <c:v>06/02/2025</c:v>
                </c:pt>
                <c:pt idx="37">
                  <c:v>07/02/2025</c:v>
                </c:pt>
                <c:pt idx="38">
                  <c:v>08/02/2025</c:v>
                </c:pt>
                <c:pt idx="39">
                  <c:v>09/02/2025</c:v>
                </c:pt>
                <c:pt idx="40">
                  <c:v>10/02/2025</c:v>
                </c:pt>
                <c:pt idx="41">
                  <c:v>11/02/2025</c:v>
                </c:pt>
                <c:pt idx="42">
                  <c:v>12/02/2025</c:v>
                </c:pt>
                <c:pt idx="43">
                  <c:v>13/02/2025</c:v>
                </c:pt>
                <c:pt idx="44">
                  <c:v>14/02/2025</c:v>
                </c:pt>
                <c:pt idx="45">
                  <c:v>15/02/2025</c:v>
                </c:pt>
                <c:pt idx="46">
                  <c:v>16/02/2025</c:v>
                </c:pt>
                <c:pt idx="47">
                  <c:v>17/02/2025</c:v>
                </c:pt>
                <c:pt idx="48">
                  <c:v>18/02/2025</c:v>
                </c:pt>
                <c:pt idx="49">
                  <c:v>19/02/2025</c:v>
                </c:pt>
                <c:pt idx="50">
                  <c:v>20/02/2025</c:v>
                </c:pt>
                <c:pt idx="51">
                  <c:v>21/02/2025</c:v>
                </c:pt>
                <c:pt idx="52">
                  <c:v>22/02/2025</c:v>
                </c:pt>
                <c:pt idx="53">
                  <c:v>23/02/2025</c:v>
                </c:pt>
                <c:pt idx="54">
                  <c:v>24/02/2025</c:v>
                </c:pt>
                <c:pt idx="55">
                  <c:v>25/02/2025</c:v>
                </c:pt>
                <c:pt idx="56">
                  <c:v>26/02/2025</c:v>
                </c:pt>
                <c:pt idx="57">
                  <c:v>27/02/2025</c:v>
                </c:pt>
                <c:pt idx="58">
                  <c:v>28/02/2025</c:v>
                </c:pt>
                <c:pt idx="59">
                  <c:v>01/03/2025</c:v>
                </c:pt>
                <c:pt idx="60">
                  <c:v>02/03/2025</c:v>
                </c:pt>
              </c:strCache>
            </c:strRef>
          </c:cat>
          <c:val>
            <c:numRef>
              <c:f>Dashboard!$R$3:$R$64</c:f>
              <c:numCache>
                <c:formatCode>0</c:formatCode>
                <c:ptCount val="61"/>
                <c:pt idx="0">
                  <c:v>49</c:v>
                </c:pt>
                <c:pt idx="1">
                  <c:v>213</c:v>
                </c:pt>
                <c:pt idx="2">
                  <c:v>79</c:v>
                </c:pt>
                <c:pt idx="3">
                  <c:v>401</c:v>
                </c:pt>
                <c:pt idx="4">
                  <c:v>164</c:v>
                </c:pt>
                <c:pt idx="5">
                  <c:v>153</c:v>
                </c:pt>
                <c:pt idx="6">
                  <c:v>45</c:v>
                </c:pt>
                <c:pt idx="7">
                  <c:v>236</c:v>
                </c:pt>
                <c:pt idx="8">
                  <c:v>174</c:v>
                </c:pt>
                <c:pt idx="9">
                  <c:v>160</c:v>
                </c:pt>
                <c:pt idx="10">
                  <c:v>131</c:v>
                </c:pt>
                <c:pt idx="11">
                  <c:v>184</c:v>
                </c:pt>
                <c:pt idx="12">
                  <c:v>109</c:v>
                </c:pt>
                <c:pt idx="13">
                  <c:v>0</c:v>
                </c:pt>
                <c:pt idx="14">
                  <c:v>139</c:v>
                </c:pt>
                <c:pt idx="15">
                  <c:v>202</c:v>
                </c:pt>
                <c:pt idx="16">
                  <c:v>41</c:v>
                </c:pt>
                <c:pt idx="17">
                  <c:v>19</c:v>
                </c:pt>
                <c:pt idx="18">
                  <c:v>0</c:v>
                </c:pt>
                <c:pt idx="19">
                  <c:v>190</c:v>
                </c:pt>
                <c:pt idx="20">
                  <c:v>148</c:v>
                </c:pt>
                <c:pt idx="21">
                  <c:v>82</c:v>
                </c:pt>
                <c:pt idx="22">
                  <c:v>133</c:v>
                </c:pt>
                <c:pt idx="23">
                  <c:v>23</c:v>
                </c:pt>
                <c:pt idx="24">
                  <c:v>168</c:v>
                </c:pt>
                <c:pt idx="25">
                  <c:v>281</c:v>
                </c:pt>
                <c:pt idx="26">
                  <c:v>130</c:v>
                </c:pt>
                <c:pt idx="27">
                  <c:v>19</c:v>
                </c:pt>
                <c:pt idx="28">
                  <c:v>56</c:v>
                </c:pt>
                <c:pt idx="29">
                  <c:v>134</c:v>
                </c:pt>
                <c:pt idx="30">
                  <c:v>59</c:v>
                </c:pt>
                <c:pt idx="31">
                  <c:v>180</c:v>
                </c:pt>
                <c:pt idx="32">
                  <c:v>176</c:v>
                </c:pt>
                <c:pt idx="33">
                  <c:v>172</c:v>
                </c:pt>
                <c:pt idx="34">
                  <c:v>129</c:v>
                </c:pt>
                <c:pt idx="35">
                  <c:v>49</c:v>
                </c:pt>
                <c:pt idx="36">
                  <c:v>170</c:v>
                </c:pt>
                <c:pt idx="37">
                  <c:v>208</c:v>
                </c:pt>
                <c:pt idx="38">
                  <c:v>156</c:v>
                </c:pt>
                <c:pt idx="39">
                  <c:v>155</c:v>
                </c:pt>
                <c:pt idx="40">
                  <c:v>135</c:v>
                </c:pt>
                <c:pt idx="41">
                  <c:v>347</c:v>
                </c:pt>
                <c:pt idx="42">
                  <c:v>196</c:v>
                </c:pt>
                <c:pt idx="43">
                  <c:v>83</c:v>
                </c:pt>
                <c:pt idx="44">
                  <c:v>76</c:v>
                </c:pt>
                <c:pt idx="45">
                  <c:v>36</c:v>
                </c:pt>
                <c:pt idx="46">
                  <c:v>127</c:v>
                </c:pt>
                <c:pt idx="47">
                  <c:v>94</c:v>
                </c:pt>
                <c:pt idx="48">
                  <c:v>23</c:v>
                </c:pt>
                <c:pt idx="49">
                  <c:v>113</c:v>
                </c:pt>
                <c:pt idx="50">
                  <c:v>178</c:v>
                </c:pt>
                <c:pt idx="51">
                  <c:v>0</c:v>
                </c:pt>
                <c:pt idx="52">
                  <c:v>11</c:v>
                </c:pt>
                <c:pt idx="53">
                  <c:v>301</c:v>
                </c:pt>
                <c:pt idx="54">
                  <c:v>346</c:v>
                </c:pt>
                <c:pt idx="55">
                  <c:v>95</c:v>
                </c:pt>
                <c:pt idx="56">
                  <c:v>183</c:v>
                </c:pt>
                <c:pt idx="57">
                  <c:v>110</c:v>
                </c:pt>
                <c:pt idx="58">
                  <c:v>107</c:v>
                </c:pt>
                <c:pt idx="59">
                  <c:v>67</c:v>
                </c:pt>
                <c:pt idx="60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7-478E-A56F-704D6AED97E6}"/>
            </c:ext>
          </c:extLst>
        </c:ser>
        <c:ser>
          <c:idx val="1"/>
          <c:order val="1"/>
          <c:tx>
            <c:strRef>
              <c:f>Dashboard!$S$1:$S$2</c:f>
              <c:strCache>
                <c:ptCount val="1"/>
                <c:pt idx="0">
                  <c:v>AT001</c:v>
                </c:pt>
              </c:strCache>
            </c:strRef>
          </c:tx>
          <c:spPr>
            <a:ln w="28575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Dashboard!$Q$3:$Q$64</c:f>
              <c:strCache>
                <c:ptCount val="61"/>
                <c:pt idx="0">
                  <c:v>01/01/2025</c:v>
                </c:pt>
                <c:pt idx="1">
                  <c:v>02/01/2025</c:v>
                </c:pt>
                <c:pt idx="2">
                  <c:v>03/01/2025</c:v>
                </c:pt>
                <c:pt idx="3">
                  <c:v>04/01/2025</c:v>
                </c:pt>
                <c:pt idx="4">
                  <c:v>05/01/2025</c:v>
                </c:pt>
                <c:pt idx="5">
                  <c:v>06/01/2025</c:v>
                </c:pt>
                <c:pt idx="6">
                  <c:v>07/01/2025</c:v>
                </c:pt>
                <c:pt idx="7">
                  <c:v>08/01/2025</c:v>
                </c:pt>
                <c:pt idx="8">
                  <c:v>09/01/2025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  <c:pt idx="31">
                  <c:v>01/02/2025</c:v>
                </c:pt>
                <c:pt idx="32">
                  <c:v>02/02/2025</c:v>
                </c:pt>
                <c:pt idx="33">
                  <c:v>03/02/2025</c:v>
                </c:pt>
                <c:pt idx="34">
                  <c:v>04/02/2025</c:v>
                </c:pt>
                <c:pt idx="35">
                  <c:v>05/02/2025</c:v>
                </c:pt>
                <c:pt idx="36">
                  <c:v>06/02/2025</c:v>
                </c:pt>
                <c:pt idx="37">
                  <c:v>07/02/2025</c:v>
                </c:pt>
                <c:pt idx="38">
                  <c:v>08/02/2025</c:v>
                </c:pt>
                <c:pt idx="39">
                  <c:v>09/02/2025</c:v>
                </c:pt>
                <c:pt idx="40">
                  <c:v>10/02/2025</c:v>
                </c:pt>
                <c:pt idx="41">
                  <c:v>11/02/2025</c:v>
                </c:pt>
                <c:pt idx="42">
                  <c:v>12/02/2025</c:v>
                </c:pt>
                <c:pt idx="43">
                  <c:v>13/02/2025</c:v>
                </c:pt>
                <c:pt idx="44">
                  <c:v>14/02/2025</c:v>
                </c:pt>
                <c:pt idx="45">
                  <c:v>15/02/2025</c:v>
                </c:pt>
                <c:pt idx="46">
                  <c:v>16/02/2025</c:v>
                </c:pt>
                <c:pt idx="47">
                  <c:v>17/02/2025</c:v>
                </c:pt>
                <c:pt idx="48">
                  <c:v>18/02/2025</c:v>
                </c:pt>
                <c:pt idx="49">
                  <c:v>19/02/2025</c:v>
                </c:pt>
                <c:pt idx="50">
                  <c:v>20/02/2025</c:v>
                </c:pt>
                <c:pt idx="51">
                  <c:v>21/02/2025</c:v>
                </c:pt>
                <c:pt idx="52">
                  <c:v>22/02/2025</c:v>
                </c:pt>
                <c:pt idx="53">
                  <c:v>23/02/2025</c:v>
                </c:pt>
                <c:pt idx="54">
                  <c:v>24/02/2025</c:v>
                </c:pt>
                <c:pt idx="55">
                  <c:v>25/02/2025</c:v>
                </c:pt>
                <c:pt idx="56">
                  <c:v>26/02/2025</c:v>
                </c:pt>
                <c:pt idx="57">
                  <c:v>27/02/2025</c:v>
                </c:pt>
                <c:pt idx="58">
                  <c:v>28/02/2025</c:v>
                </c:pt>
                <c:pt idx="59">
                  <c:v>01/03/2025</c:v>
                </c:pt>
                <c:pt idx="60">
                  <c:v>02/03/2025</c:v>
                </c:pt>
              </c:strCache>
            </c:strRef>
          </c:cat>
          <c:val>
            <c:numRef>
              <c:f>Dashboard!$S$3:$S$64</c:f>
              <c:numCache>
                <c:formatCode>0</c:formatCode>
                <c:ptCount val="61"/>
                <c:pt idx="0">
                  <c:v>163</c:v>
                </c:pt>
                <c:pt idx="1">
                  <c:v>79</c:v>
                </c:pt>
                <c:pt idx="2">
                  <c:v>283</c:v>
                </c:pt>
                <c:pt idx="3">
                  <c:v>265</c:v>
                </c:pt>
                <c:pt idx="4">
                  <c:v>60</c:v>
                </c:pt>
                <c:pt idx="5">
                  <c:v>186</c:v>
                </c:pt>
                <c:pt idx="6">
                  <c:v>173</c:v>
                </c:pt>
                <c:pt idx="7">
                  <c:v>185</c:v>
                </c:pt>
                <c:pt idx="8">
                  <c:v>49</c:v>
                </c:pt>
                <c:pt idx="9">
                  <c:v>333</c:v>
                </c:pt>
                <c:pt idx="10">
                  <c:v>0</c:v>
                </c:pt>
                <c:pt idx="11">
                  <c:v>276</c:v>
                </c:pt>
                <c:pt idx="12">
                  <c:v>42</c:v>
                </c:pt>
                <c:pt idx="13">
                  <c:v>325</c:v>
                </c:pt>
                <c:pt idx="14">
                  <c:v>0</c:v>
                </c:pt>
                <c:pt idx="15">
                  <c:v>236</c:v>
                </c:pt>
                <c:pt idx="16">
                  <c:v>113</c:v>
                </c:pt>
                <c:pt idx="17">
                  <c:v>129</c:v>
                </c:pt>
                <c:pt idx="18">
                  <c:v>79</c:v>
                </c:pt>
                <c:pt idx="19">
                  <c:v>297</c:v>
                </c:pt>
                <c:pt idx="20">
                  <c:v>146</c:v>
                </c:pt>
                <c:pt idx="21">
                  <c:v>117</c:v>
                </c:pt>
                <c:pt idx="22">
                  <c:v>123</c:v>
                </c:pt>
                <c:pt idx="23">
                  <c:v>196</c:v>
                </c:pt>
                <c:pt idx="24">
                  <c:v>50</c:v>
                </c:pt>
                <c:pt idx="25">
                  <c:v>81</c:v>
                </c:pt>
                <c:pt idx="26">
                  <c:v>157</c:v>
                </c:pt>
                <c:pt idx="27">
                  <c:v>81</c:v>
                </c:pt>
                <c:pt idx="28">
                  <c:v>24</c:v>
                </c:pt>
                <c:pt idx="29">
                  <c:v>227</c:v>
                </c:pt>
                <c:pt idx="30">
                  <c:v>255</c:v>
                </c:pt>
                <c:pt idx="31">
                  <c:v>187</c:v>
                </c:pt>
                <c:pt idx="32">
                  <c:v>0</c:v>
                </c:pt>
                <c:pt idx="33">
                  <c:v>240</c:v>
                </c:pt>
                <c:pt idx="34">
                  <c:v>164</c:v>
                </c:pt>
                <c:pt idx="35">
                  <c:v>0</c:v>
                </c:pt>
                <c:pt idx="36">
                  <c:v>294</c:v>
                </c:pt>
                <c:pt idx="37">
                  <c:v>84</c:v>
                </c:pt>
                <c:pt idx="38">
                  <c:v>118</c:v>
                </c:pt>
                <c:pt idx="39">
                  <c:v>0</c:v>
                </c:pt>
                <c:pt idx="40">
                  <c:v>64</c:v>
                </c:pt>
                <c:pt idx="41">
                  <c:v>43</c:v>
                </c:pt>
                <c:pt idx="42">
                  <c:v>188</c:v>
                </c:pt>
                <c:pt idx="43">
                  <c:v>231</c:v>
                </c:pt>
                <c:pt idx="44">
                  <c:v>70</c:v>
                </c:pt>
                <c:pt idx="45">
                  <c:v>79</c:v>
                </c:pt>
                <c:pt idx="46">
                  <c:v>78</c:v>
                </c:pt>
                <c:pt idx="47">
                  <c:v>47</c:v>
                </c:pt>
                <c:pt idx="48">
                  <c:v>227</c:v>
                </c:pt>
                <c:pt idx="49">
                  <c:v>29</c:v>
                </c:pt>
                <c:pt idx="50">
                  <c:v>291</c:v>
                </c:pt>
                <c:pt idx="51">
                  <c:v>288</c:v>
                </c:pt>
                <c:pt idx="52">
                  <c:v>0</c:v>
                </c:pt>
                <c:pt idx="53">
                  <c:v>231</c:v>
                </c:pt>
                <c:pt idx="54">
                  <c:v>87</c:v>
                </c:pt>
                <c:pt idx="55">
                  <c:v>0</c:v>
                </c:pt>
                <c:pt idx="56">
                  <c:v>81</c:v>
                </c:pt>
                <c:pt idx="57">
                  <c:v>178</c:v>
                </c:pt>
                <c:pt idx="58">
                  <c:v>124</c:v>
                </c:pt>
                <c:pt idx="59">
                  <c:v>454</c:v>
                </c:pt>
                <c:pt idx="60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F1-4833-A5BF-669A480D8350}"/>
            </c:ext>
          </c:extLst>
        </c:ser>
        <c:ser>
          <c:idx val="2"/>
          <c:order val="2"/>
          <c:tx>
            <c:strRef>
              <c:f>Dashboard!$T$1:$T$2</c:f>
              <c:strCache>
                <c:ptCount val="1"/>
                <c:pt idx="0">
                  <c:v>QT003</c:v>
                </c:pt>
              </c:strCache>
            </c:strRef>
          </c:tx>
          <c:spPr>
            <a:ln w="28575" cap="rnd">
              <a:solidFill>
                <a:srgbClr val="275317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5E6A2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Dashboard!$Q$3:$Q$64</c:f>
              <c:strCache>
                <c:ptCount val="61"/>
                <c:pt idx="0">
                  <c:v>01/01/2025</c:v>
                </c:pt>
                <c:pt idx="1">
                  <c:v>02/01/2025</c:v>
                </c:pt>
                <c:pt idx="2">
                  <c:v>03/01/2025</c:v>
                </c:pt>
                <c:pt idx="3">
                  <c:v>04/01/2025</c:v>
                </c:pt>
                <c:pt idx="4">
                  <c:v>05/01/2025</c:v>
                </c:pt>
                <c:pt idx="5">
                  <c:v>06/01/2025</c:v>
                </c:pt>
                <c:pt idx="6">
                  <c:v>07/01/2025</c:v>
                </c:pt>
                <c:pt idx="7">
                  <c:v>08/01/2025</c:v>
                </c:pt>
                <c:pt idx="8">
                  <c:v>09/01/2025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  <c:pt idx="31">
                  <c:v>01/02/2025</c:v>
                </c:pt>
                <c:pt idx="32">
                  <c:v>02/02/2025</c:v>
                </c:pt>
                <c:pt idx="33">
                  <c:v>03/02/2025</c:v>
                </c:pt>
                <c:pt idx="34">
                  <c:v>04/02/2025</c:v>
                </c:pt>
                <c:pt idx="35">
                  <c:v>05/02/2025</c:v>
                </c:pt>
                <c:pt idx="36">
                  <c:v>06/02/2025</c:v>
                </c:pt>
                <c:pt idx="37">
                  <c:v>07/02/2025</c:v>
                </c:pt>
                <c:pt idx="38">
                  <c:v>08/02/2025</c:v>
                </c:pt>
                <c:pt idx="39">
                  <c:v>09/02/2025</c:v>
                </c:pt>
                <c:pt idx="40">
                  <c:v>10/02/2025</c:v>
                </c:pt>
                <c:pt idx="41">
                  <c:v>11/02/2025</c:v>
                </c:pt>
                <c:pt idx="42">
                  <c:v>12/02/2025</c:v>
                </c:pt>
                <c:pt idx="43">
                  <c:v>13/02/2025</c:v>
                </c:pt>
                <c:pt idx="44">
                  <c:v>14/02/2025</c:v>
                </c:pt>
                <c:pt idx="45">
                  <c:v>15/02/2025</c:v>
                </c:pt>
                <c:pt idx="46">
                  <c:v>16/02/2025</c:v>
                </c:pt>
                <c:pt idx="47">
                  <c:v>17/02/2025</c:v>
                </c:pt>
                <c:pt idx="48">
                  <c:v>18/02/2025</c:v>
                </c:pt>
                <c:pt idx="49">
                  <c:v>19/02/2025</c:v>
                </c:pt>
                <c:pt idx="50">
                  <c:v>20/02/2025</c:v>
                </c:pt>
                <c:pt idx="51">
                  <c:v>21/02/2025</c:v>
                </c:pt>
                <c:pt idx="52">
                  <c:v>22/02/2025</c:v>
                </c:pt>
                <c:pt idx="53">
                  <c:v>23/02/2025</c:v>
                </c:pt>
                <c:pt idx="54">
                  <c:v>24/02/2025</c:v>
                </c:pt>
                <c:pt idx="55">
                  <c:v>25/02/2025</c:v>
                </c:pt>
                <c:pt idx="56">
                  <c:v>26/02/2025</c:v>
                </c:pt>
                <c:pt idx="57">
                  <c:v>27/02/2025</c:v>
                </c:pt>
                <c:pt idx="58">
                  <c:v>28/02/2025</c:v>
                </c:pt>
                <c:pt idx="59">
                  <c:v>01/03/2025</c:v>
                </c:pt>
                <c:pt idx="60">
                  <c:v>02/03/2025</c:v>
                </c:pt>
              </c:strCache>
            </c:strRef>
          </c:cat>
          <c:val>
            <c:numRef>
              <c:f>Dashboard!$T$3:$T$64</c:f>
              <c:numCache>
                <c:formatCode>0</c:formatCode>
                <c:ptCount val="61"/>
                <c:pt idx="0">
                  <c:v>0</c:v>
                </c:pt>
                <c:pt idx="1">
                  <c:v>278</c:v>
                </c:pt>
                <c:pt idx="2">
                  <c:v>331</c:v>
                </c:pt>
                <c:pt idx="3">
                  <c:v>78</c:v>
                </c:pt>
                <c:pt idx="4">
                  <c:v>75</c:v>
                </c:pt>
                <c:pt idx="5">
                  <c:v>56</c:v>
                </c:pt>
                <c:pt idx="6">
                  <c:v>190</c:v>
                </c:pt>
                <c:pt idx="7">
                  <c:v>13</c:v>
                </c:pt>
                <c:pt idx="8">
                  <c:v>190</c:v>
                </c:pt>
                <c:pt idx="9">
                  <c:v>108</c:v>
                </c:pt>
                <c:pt idx="10">
                  <c:v>189</c:v>
                </c:pt>
                <c:pt idx="11">
                  <c:v>150</c:v>
                </c:pt>
                <c:pt idx="12">
                  <c:v>97</c:v>
                </c:pt>
                <c:pt idx="13">
                  <c:v>265</c:v>
                </c:pt>
                <c:pt idx="14">
                  <c:v>187</c:v>
                </c:pt>
                <c:pt idx="15">
                  <c:v>195</c:v>
                </c:pt>
                <c:pt idx="16">
                  <c:v>21</c:v>
                </c:pt>
                <c:pt idx="17">
                  <c:v>85</c:v>
                </c:pt>
                <c:pt idx="18">
                  <c:v>230</c:v>
                </c:pt>
                <c:pt idx="19">
                  <c:v>208</c:v>
                </c:pt>
                <c:pt idx="20">
                  <c:v>164</c:v>
                </c:pt>
                <c:pt idx="21">
                  <c:v>55</c:v>
                </c:pt>
                <c:pt idx="22">
                  <c:v>259</c:v>
                </c:pt>
                <c:pt idx="23">
                  <c:v>172</c:v>
                </c:pt>
                <c:pt idx="24">
                  <c:v>33</c:v>
                </c:pt>
                <c:pt idx="25">
                  <c:v>169</c:v>
                </c:pt>
                <c:pt idx="26">
                  <c:v>89</c:v>
                </c:pt>
                <c:pt idx="27">
                  <c:v>206</c:v>
                </c:pt>
                <c:pt idx="28">
                  <c:v>0</c:v>
                </c:pt>
                <c:pt idx="29">
                  <c:v>47</c:v>
                </c:pt>
                <c:pt idx="30">
                  <c:v>133</c:v>
                </c:pt>
                <c:pt idx="31">
                  <c:v>121</c:v>
                </c:pt>
                <c:pt idx="32">
                  <c:v>32</c:v>
                </c:pt>
                <c:pt idx="33">
                  <c:v>147</c:v>
                </c:pt>
                <c:pt idx="34">
                  <c:v>0</c:v>
                </c:pt>
                <c:pt idx="35">
                  <c:v>195</c:v>
                </c:pt>
                <c:pt idx="36">
                  <c:v>263</c:v>
                </c:pt>
                <c:pt idx="37">
                  <c:v>198</c:v>
                </c:pt>
                <c:pt idx="38">
                  <c:v>141</c:v>
                </c:pt>
                <c:pt idx="39">
                  <c:v>94</c:v>
                </c:pt>
                <c:pt idx="40">
                  <c:v>247</c:v>
                </c:pt>
                <c:pt idx="41">
                  <c:v>81</c:v>
                </c:pt>
                <c:pt idx="42">
                  <c:v>181</c:v>
                </c:pt>
                <c:pt idx="43">
                  <c:v>58</c:v>
                </c:pt>
                <c:pt idx="44">
                  <c:v>350</c:v>
                </c:pt>
                <c:pt idx="45">
                  <c:v>186</c:v>
                </c:pt>
                <c:pt idx="46">
                  <c:v>122</c:v>
                </c:pt>
                <c:pt idx="47">
                  <c:v>145</c:v>
                </c:pt>
                <c:pt idx="48">
                  <c:v>74</c:v>
                </c:pt>
                <c:pt idx="49">
                  <c:v>270</c:v>
                </c:pt>
                <c:pt idx="50">
                  <c:v>185</c:v>
                </c:pt>
                <c:pt idx="51">
                  <c:v>121</c:v>
                </c:pt>
                <c:pt idx="52">
                  <c:v>309</c:v>
                </c:pt>
                <c:pt idx="53">
                  <c:v>0</c:v>
                </c:pt>
                <c:pt idx="54">
                  <c:v>53</c:v>
                </c:pt>
                <c:pt idx="55">
                  <c:v>97</c:v>
                </c:pt>
                <c:pt idx="56">
                  <c:v>95</c:v>
                </c:pt>
                <c:pt idx="57">
                  <c:v>146</c:v>
                </c:pt>
                <c:pt idx="58">
                  <c:v>214</c:v>
                </c:pt>
                <c:pt idx="59">
                  <c:v>185</c:v>
                </c:pt>
                <c:pt idx="60">
                  <c:v>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2B-42FB-874B-6840A226D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7680648"/>
        <c:axId val="1077711368"/>
      </c:lineChart>
      <c:catAx>
        <c:axId val="1077680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711368"/>
        <c:crosses val="autoZero"/>
        <c:auto val="1"/>
        <c:lblAlgn val="ctr"/>
        <c:lblOffset val="100"/>
        <c:noMultiLvlLbl val="0"/>
      </c:catAx>
      <c:valAx>
        <c:axId val="107771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680648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[252_TN-UDMT_Nhóm 1.xlsm]Dashboard!PivotTable16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Doanh thu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83CCEB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83CCEB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Tổng</c:v>
                </c:pt>
              </c:strCache>
            </c:strRef>
          </c:tx>
          <c:spPr>
            <a:ln w="28575" cap="rnd">
              <a:solidFill>
                <a:srgbClr val="83CCEB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Dashboard!$X$2:$X$63</c:f>
              <c:strCache>
                <c:ptCount val="61"/>
                <c:pt idx="0">
                  <c:v>01/01/2025</c:v>
                </c:pt>
                <c:pt idx="1">
                  <c:v>02/01/2025</c:v>
                </c:pt>
                <c:pt idx="2">
                  <c:v>03/01/2025</c:v>
                </c:pt>
                <c:pt idx="3">
                  <c:v>04/01/2025</c:v>
                </c:pt>
                <c:pt idx="4">
                  <c:v>05/01/2025</c:v>
                </c:pt>
                <c:pt idx="5">
                  <c:v>06/01/2025</c:v>
                </c:pt>
                <c:pt idx="6">
                  <c:v>07/01/2025</c:v>
                </c:pt>
                <c:pt idx="7">
                  <c:v>08/01/2025</c:v>
                </c:pt>
                <c:pt idx="8">
                  <c:v>09/01/2025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  <c:pt idx="31">
                  <c:v>01/02/2025</c:v>
                </c:pt>
                <c:pt idx="32">
                  <c:v>02/02/2025</c:v>
                </c:pt>
                <c:pt idx="33">
                  <c:v>03/02/2025</c:v>
                </c:pt>
                <c:pt idx="34">
                  <c:v>04/02/2025</c:v>
                </c:pt>
                <c:pt idx="35">
                  <c:v>05/02/2025</c:v>
                </c:pt>
                <c:pt idx="36">
                  <c:v>06/02/2025</c:v>
                </c:pt>
                <c:pt idx="37">
                  <c:v>07/02/2025</c:v>
                </c:pt>
                <c:pt idx="38">
                  <c:v>08/02/2025</c:v>
                </c:pt>
                <c:pt idx="39">
                  <c:v>09/02/2025</c:v>
                </c:pt>
                <c:pt idx="40">
                  <c:v>10/02/2025</c:v>
                </c:pt>
                <c:pt idx="41">
                  <c:v>11/02/2025</c:v>
                </c:pt>
                <c:pt idx="42">
                  <c:v>12/02/2025</c:v>
                </c:pt>
                <c:pt idx="43">
                  <c:v>13/02/2025</c:v>
                </c:pt>
                <c:pt idx="44">
                  <c:v>14/02/2025</c:v>
                </c:pt>
                <c:pt idx="45">
                  <c:v>15/02/2025</c:v>
                </c:pt>
                <c:pt idx="46">
                  <c:v>16/02/2025</c:v>
                </c:pt>
                <c:pt idx="47">
                  <c:v>17/02/2025</c:v>
                </c:pt>
                <c:pt idx="48">
                  <c:v>18/02/2025</c:v>
                </c:pt>
                <c:pt idx="49">
                  <c:v>19/02/2025</c:v>
                </c:pt>
                <c:pt idx="50">
                  <c:v>20/02/2025</c:v>
                </c:pt>
                <c:pt idx="51">
                  <c:v>21/02/2025</c:v>
                </c:pt>
                <c:pt idx="52">
                  <c:v>22/02/2025</c:v>
                </c:pt>
                <c:pt idx="53">
                  <c:v>23/02/2025</c:v>
                </c:pt>
                <c:pt idx="54">
                  <c:v>24/02/2025</c:v>
                </c:pt>
                <c:pt idx="55">
                  <c:v>25/02/2025</c:v>
                </c:pt>
                <c:pt idx="56">
                  <c:v>26/02/2025</c:v>
                </c:pt>
                <c:pt idx="57">
                  <c:v>27/02/2025</c:v>
                </c:pt>
                <c:pt idx="58">
                  <c:v>28/02/2025</c:v>
                </c:pt>
                <c:pt idx="59">
                  <c:v>01/03/2025</c:v>
                </c:pt>
                <c:pt idx="60">
                  <c:v>02/03/2025</c:v>
                </c:pt>
              </c:strCache>
            </c:strRef>
          </c:cat>
          <c:val>
            <c:numRef>
              <c:f>Dashboard!$Y$2:$Y$63</c:f>
              <c:numCache>
                <c:formatCode>0</c:formatCode>
                <c:ptCount val="61"/>
                <c:pt idx="0">
                  <c:v>41600000</c:v>
                </c:pt>
                <c:pt idx="1">
                  <c:v>225400000</c:v>
                </c:pt>
                <c:pt idx="2">
                  <c:v>235600000</c:v>
                </c:pt>
                <c:pt idx="3">
                  <c:v>219100000</c:v>
                </c:pt>
                <c:pt idx="4">
                  <c:v>103900000</c:v>
                </c:pt>
                <c:pt idx="5">
                  <c:v>109450000</c:v>
                </c:pt>
                <c:pt idx="6">
                  <c:v>136700000</c:v>
                </c:pt>
                <c:pt idx="7">
                  <c:v>116850000</c:v>
                </c:pt>
                <c:pt idx="8">
                  <c:v>163250000</c:v>
                </c:pt>
                <c:pt idx="9">
                  <c:v>159950000</c:v>
                </c:pt>
                <c:pt idx="10">
                  <c:v>140350000</c:v>
                </c:pt>
                <c:pt idx="11">
                  <c:v>180800000</c:v>
                </c:pt>
                <c:pt idx="12">
                  <c:v>92950000</c:v>
                </c:pt>
                <c:pt idx="13">
                  <c:v>181250000</c:v>
                </c:pt>
                <c:pt idx="14">
                  <c:v>142150000</c:v>
                </c:pt>
                <c:pt idx="15">
                  <c:v>203600000</c:v>
                </c:pt>
                <c:pt idx="16">
                  <c:v>41800000</c:v>
                </c:pt>
                <c:pt idx="17">
                  <c:v>68500000</c:v>
                </c:pt>
                <c:pt idx="18">
                  <c:v>126850000</c:v>
                </c:pt>
                <c:pt idx="19">
                  <c:v>215050000</c:v>
                </c:pt>
                <c:pt idx="20">
                  <c:v>155700000</c:v>
                </c:pt>
                <c:pt idx="21">
                  <c:v>73750000</c:v>
                </c:pt>
                <c:pt idx="22">
                  <c:v>194500000</c:v>
                </c:pt>
                <c:pt idx="23">
                  <c:v>123450000</c:v>
                </c:pt>
                <c:pt idx="24">
                  <c:v>82800000</c:v>
                </c:pt>
                <c:pt idx="25">
                  <c:v>195000000</c:v>
                </c:pt>
                <c:pt idx="26">
                  <c:v>113550000</c:v>
                </c:pt>
                <c:pt idx="27">
                  <c:v>121800000</c:v>
                </c:pt>
                <c:pt idx="28">
                  <c:v>23200000</c:v>
                </c:pt>
                <c:pt idx="29">
                  <c:v>104450000</c:v>
                </c:pt>
                <c:pt idx="30">
                  <c:v>125400000</c:v>
                </c:pt>
                <c:pt idx="31">
                  <c:v>151550000</c:v>
                </c:pt>
                <c:pt idx="32">
                  <c:v>77600000</c:v>
                </c:pt>
                <c:pt idx="33">
                  <c:v>169700000</c:v>
                </c:pt>
                <c:pt idx="34">
                  <c:v>69750000</c:v>
                </c:pt>
                <c:pt idx="35">
                  <c:v>114650000</c:v>
                </c:pt>
                <c:pt idx="36">
                  <c:v>235100000</c:v>
                </c:pt>
                <c:pt idx="37">
                  <c:v>184400000</c:v>
                </c:pt>
                <c:pt idx="38">
                  <c:v>142800000</c:v>
                </c:pt>
                <c:pt idx="39">
                  <c:v>101250000</c:v>
                </c:pt>
                <c:pt idx="40">
                  <c:v>180350000</c:v>
                </c:pt>
                <c:pt idx="41">
                  <c:v>168400000</c:v>
                </c:pt>
                <c:pt idx="42">
                  <c:v>187300000</c:v>
                </c:pt>
                <c:pt idx="43">
                  <c:v>92700000</c:v>
                </c:pt>
                <c:pt idx="44">
                  <c:v>212100000</c:v>
                </c:pt>
                <c:pt idx="45">
                  <c:v>117450000</c:v>
                </c:pt>
                <c:pt idx="46">
                  <c:v>117150000</c:v>
                </c:pt>
                <c:pt idx="47">
                  <c:v>112450000</c:v>
                </c:pt>
                <c:pt idx="48">
                  <c:v>79100000</c:v>
                </c:pt>
                <c:pt idx="49">
                  <c:v>178900000</c:v>
                </c:pt>
                <c:pt idx="50">
                  <c:v>198450000</c:v>
                </c:pt>
                <c:pt idx="51">
                  <c:v>103700000</c:v>
                </c:pt>
                <c:pt idx="52">
                  <c:v>158350000</c:v>
                </c:pt>
                <c:pt idx="53">
                  <c:v>140000000</c:v>
                </c:pt>
                <c:pt idx="54">
                  <c:v>160650000</c:v>
                </c:pt>
                <c:pt idx="55">
                  <c:v>81750000</c:v>
                </c:pt>
                <c:pt idx="56">
                  <c:v>123700000</c:v>
                </c:pt>
                <c:pt idx="57">
                  <c:v>138200000</c:v>
                </c:pt>
                <c:pt idx="58">
                  <c:v>163050000</c:v>
                </c:pt>
                <c:pt idx="59">
                  <c:v>184050000</c:v>
                </c:pt>
                <c:pt idx="60">
                  <c:v>258200000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E3-4A65-96DD-5B919336D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7717512"/>
        <c:axId val="1081447944"/>
      </c:lineChart>
      <c:catAx>
        <c:axId val="107771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447944"/>
        <c:crosses val="autoZero"/>
        <c:auto val="1"/>
        <c:lblAlgn val="ctr"/>
        <c:lblOffset val="100"/>
        <c:noMultiLvlLbl val="0"/>
      </c:catAx>
      <c:valAx>
        <c:axId val="108144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71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[252_TN-UDMT_Nhóm 1.xlsm]Dashboard!PivotTable17</c:name>
    <c:fmtId val="0"/>
  </c:pivotSource>
  <c:chart>
    <c:autoTitleDeleted val="1"/>
    <c:pivotFmts>
      <c:pivotFmt>
        <c:idx val="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C0E6F5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C0E6F5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Dashboard!$AI$17</c:f>
              <c:strCache>
                <c:ptCount val="1"/>
                <c:pt idx="0">
                  <c:v>Tổng</c:v>
                </c:pt>
              </c:strCache>
            </c:strRef>
          </c:tx>
          <c:spPr>
            <a:solidFill>
              <a:srgbClr val="FFC000"/>
            </a:solidFill>
          </c:spPr>
          <c:dPt>
            <c:idx val="0"/>
            <c:bubble3D val="0"/>
            <c:spPr>
              <a:solidFill>
                <a:srgbClr val="C0E6F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D6D-4AE4-B2A2-3622F60D09A3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D6D-4AE4-B2A2-3622F60D09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Dashboard!$AH$18:$AH$20</c:f>
              <c:strCache>
                <c:ptCount val="2"/>
                <c:pt idx="0">
                  <c:v>North</c:v>
                </c:pt>
                <c:pt idx="1">
                  <c:v>South</c:v>
                </c:pt>
              </c:strCache>
            </c:strRef>
          </c:cat>
          <c:val>
            <c:numRef>
              <c:f>Dashboard!$AI$18:$AI$20</c:f>
              <c:numCache>
                <c:formatCode>0</c:formatCode>
                <c:ptCount val="2"/>
                <c:pt idx="0">
                  <c:v>12808</c:v>
                </c:pt>
                <c:pt idx="1">
                  <c:v>13079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D-4AE4-B2A2-3622F60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[252_TN-UDMT_Nhóm 1.xlsm]Dashboard!PivotTable10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/>
              <a:t>Sản lượng sản phẩm theo khách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971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7531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E971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7531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9713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27531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Dashboard!$AC$1:$AC$2</c:f>
              <c:strCache>
                <c:ptCount val="1"/>
                <c:pt idx="0">
                  <c:v>AS002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Dashboard!$AB$3:$AB$8</c:f>
              <c:strCache>
                <c:ptCount val="5"/>
                <c:pt idx="0">
                  <c:v>Agent D</c:v>
                </c:pt>
                <c:pt idx="1">
                  <c:v>E-commerce E</c:v>
                </c:pt>
                <c:pt idx="2">
                  <c:v>Shop A</c:v>
                </c:pt>
                <c:pt idx="3">
                  <c:v>Shop B</c:v>
                </c:pt>
                <c:pt idx="4">
                  <c:v>Supermarket C</c:v>
                </c:pt>
              </c:strCache>
            </c:strRef>
          </c:cat>
          <c:val>
            <c:numRef>
              <c:f>Dashboard!$AC$3:$AC$8</c:f>
              <c:numCache>
                <c:formatCode>0</c:formatCode>
                <c:ptCount val="5"/>
                <c:pt idx="0">
                  <c:v>2167</c:v>
                </c:pt>
                <c:pt idx="1">
                  <c:v>1418</c:v>
                </c:pt>
                <c:pt idx="2">
                  <c:v>1431</c:v>
                </c:pt>
                <c:pt idx="3">
                  <c:v>1742</c:v>
                </c:pt>
                <c:pt idx="4">
                  <c:v>1326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4-47D9-B884-2A9CF911782D}"/>
            </c:ext>
          </c:extLst>
        </c:ser>
        <c:ser>
          <c:idx val="1"/>
          <c:order val="1"/>
          <c:tx>
            <c:strRef>
              <c:f>Dashboard!$AD$1:$AD$2</c:f>
              <c:strCache>
                <c:ptCount val="1"/>
                <c:pt idx="0">
                  <c:v>AT001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cat>
            <c:strRef>
              <c:f>Dashboard!$AB$3:$AB$8</c:f>
              <c:strCache>
                <c:ptCount val="5"/>
                <c:pt idx="0">
                  <c:v>Agent D</c:v>
                </c:pt>
                <c:pt idx="1">
                  <c:v>E-commerce E</c:v>
                </c:pt>
                <c:pt idx="2">
                  <c:v>Shop A</c:v>
                </c:pt>
                <c:pt idx="3">
                  <c:v>Shop B</c:v>
                </c:pt>
                <c:pt idx="4">
                  <c:v>Supermarket C</c:v>
                </c:pt>
              </c:strCache>
            </c:strRef>
          </c:cat>
          <c:val>
            <c:numRef>
              <c:f>Dashboard!$AD$3:$AD$8</c:f>
              <c:numCache>
                <c:formatCode>0</c:formatCode>
                <c:ptCount val="5"/>
                <c:pt idx="0">
                  <c:v>1722</c:v>
                </c:pt>
                <c:pt idx="1">
                  <c:v>1564</c:v>
                </c:pt>
                <c:pt idx="2">
                  <c:v>1815</c:v>
                </c:pt>
                <c:pt idx="3">
                  <c:v>1916</c:v>
                </c:pt>
                <c:pt idx="4">
                  <c:v>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64-4D5B-8F9C-EB06974DC017}"/>
            </c:ext>
          </c:extLst>
        </c:ser>
        <c:ser>
          <c:idx val="2"/>
          <c:order val="2"/>
          <c:tx>
            <c:strRef>
              <c:f>Dashboard!$AE$1:$AE$2</c:f>
              <c:strCache>
                <c:ptCount val="1"/>
                <c:pt idx="0">
                  <c:v>QT003</c:v>
                </c:pt>
              </c:strCache>
            </c:strRef>
          </c:tx>
          <c:spPr>
            <a:solidFill>
              <a:srgbClr val="275317"/>
            </a:solidFill>
            <a:ln>
              <a:noFill/>
            </a:ln>
            <a:effectLst/>
          </c:spPr>
          <c:invertIfNegative val="0"/>
          <c:cat>
            <c:strRef>
              <c:f>Dashboard!$AB$3:$AB$8</c:f>
              <c:strCache>
                <c:ptCount val="5"/>
                <c:pt idx="0">
                  <c:v>Agent D</c:v>
                </c:pt>
                <c:pt idx="1">
                  <c:v>E-commerce E</c:v>
                </c:pt>
                <c:pt idx="2">
                  <c:v>Shop A</c:v>
                </c:pt>
                <c:pt idx="3">
                  <c:v>Shop B</c:v>
                </c:pt>
                <c:pt idx="4">
                  <c:v>Supermarket C</c:v>
                </c:pt>
              </c:strCache>
            </c:strRef>
          </c:cat>
          <c:val>
            <c:numRef>
              <c:f>Dashboard!$AE$3:$AE$8</c:f>
              <c:numCache>
                <c:formatCode>0</c:formatCode>
                <c:ptCount val="5"/>
                <c:pt idx="0">
                  <c:v>1962</c:v>
                </c:pt>
                <c:pt idx="1">
                  <c:v>1631</c:v>
                </c:pt>
                <c:pt idx="2">
                  <c:v>1725</c:v>
                </c:pt>
                <c:pt idx="3">
                  <c:v>1754</c:v>
                </c:pt>
                <c:pt idx="4">
                  <c:v>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EB-4D66-B21A-786A92652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59751"/>
        <c:axId val="17831431"/>
      </c:barChart>
      <c:catAx>
        <c:axId val="17759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1431"/>
        <c:crosses val="autoZero"/>
        <c:auto val="1"/>
        <c:lblAlgn val="ctr"/>
        <c:lblOffset val="100"/>
        <c:noMultiLvlLbl val="0"/>
      </c:catAx>
      <c:valAx>
        <c:axId val="17831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9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82550</xdr:rowOff>
        </xdr:from>
        <xdr:to>
          <xdr:col>10</xdr:col>
          <xdr:colOff>603250</xdr:colOff>
          <xdr:row>6</xdr:row>
          <xdr:rowOff>165100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3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Mở form nhập kho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4</xdr:row>
          <xdr:rowOff>88900</xdr:rowOff>
        </xdr:from>
        <xdr:to>
          <xdr:col>14</xdr:col>
          <xdr:colOff>501650</xdr:colOff>
          <xdr:row>6</xdr:row>
          <xdr:rowOff>88900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3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1819275</xdr:colOff>
      <xdr:row>23</xdr:row>
      <xdr:rowOff>190500</xdr:rowOff>
    </xdr:from>
    <xdr:to>
      <xdr:col>3</xdr:col>
      <xdr:colOff>781050</xdr:colOff>
      <xdr:row>33</xdr:row>
      <xdr:rowOff>200025</xdr:rowOff>
    </xdr:to>
    <xdr:graphicFrame macro="">
      <xdr:nvGraphicFramePr>
        <xdr:cNvPr id="20" name="Biểu đồ 3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1504950</xdr:colOff>
      <xdr:row>23</xdr:row>
      <xdr:rowOff>190500</xdr:rowOff>
    </xdr:from>
    <xdr:to>
      <xdr:col>12</xdr:col>
      <xdr:colOff>28575</xdr:colOff>
      <xdr:row>34</xdr:row>
      <xdr:rowOff>0</xdr:rowOff>
    </xdr:to>
    <xdr:graphicFrame macro="">
      <xdr:nvGraphicFramePr>
        <xdr:cNvPr id="27" name="Biểu đồ 8">
          <a:extLst>
            <a:ext uri="{FF2B5EF4-FFF2-40B4-BE49-F238E27FC236}">
              <a16:creationId xmlns:a16="http://schemas.microsoft.com/office/drawing/2014/main" id="{00000000-0008-0000-0700-00001B000000}"/>
            </a:ext>
            <a:ext uri="{147F2762-F138-4A5C-976F-8EAC2B608ADB}">
              <a16:predDERef xmlns:a16="http://schemas.microsoft.com/office/drawing/2014/main" pred="{709BD4FC-2E5E-F843-1637-7F035DACBD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1543050</xdr:colOff>
      <xdr:row>0</xdr:row>
      <xdr:rowOff>0</xdr:rowOff>
    </xdr:from>
    <xdr:to>
      <xdr:col>11</xdr:col>
      <xdr:colOff>1533525</xdr:colOff>
      <xdr:row>8</xdr:row>
      <xdr:rowOff>0</xdr:rowOff>
    </xdr:to>
    <xdr:graphicFrame macro="">
      <xdr:nvGraphicFramePr>
        <xdr:cNvPr id="12" name="Biểu đồ 10">
          <a:extLst>
            <a:ext uri="{FF2B5EF4-FFF2-40B4-BE49-F238E27FC236}">
              <a16:creationId xmlns:a16="http://schemas.microsoft.com/office/drawing/2014/main" id="{00000000-0008-0000-0700-00000C000000}"/>
            </a:ext>
            <a:ext uri="{147F2762-F138-4A5C-976F-8EAC2B608ADB}">
              <a16:predDERef xmlns:a16="http://schemas.microsoft.com/office/drawing/2014/main" pred="{ACEF5D43-B132-1CF0-541E-87E79D94F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9525</xdr:colOff>
      <xdr:row>8</xdr:row>
      <xdr:rowOff>9525</xdr:rowOff>
    </xdr:from>
    <xdr:to>
      <xdr:col>12</xdr:col>
      <xdr:colOff>0</xdr:colOff>
      <xdr:row>15</xdr:row>
      <xdr:rowOff>200025</xdr:rowOff>
    </xdr:to>
    <xdr:graphicFrame macro="">
      <xdr:nvGraphicFramePr>
        <xdr:cNvPr id="14" name="Biểu đồ 11">
          <a:extLst>
            <a:ext uri="{FF2B5EF4-FFF2-40B4-BE49-F238E27FC236}">
              <a16:creationId xmlns:a16="http://schemas.microsoft.com/office/drawing/2014/main" id="{00000000-0008-0000-0700-00000E000000}"/>
            </a:ext>
            <a:ext uri="{147F2762-F138-4A5C-976F-8EAC2B608ADB}">
              <a16:predDERef xmlns:a16="http://schemas.microsoft.com/office/drawing/2014/main" pred="{61450ABB-D19C-A144-9D6C-739C869DE4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1828800</xdr:colOff>
      <xdr:row>11</xdr:row>
      <xdr:rowOff>180975</xdr:rowOff>
    </xdr:from>
    <xdr:to>
      <xdr:col>10</xdr:col>
      <xdr:colOff>9525</xdr:colOff>
      <xdr:row>23</xdr:row>
      <xdr:rowOff>180975</xdr:rowOff>
    </xdr:to>
    <xdr:graphicFrame macro="">
      <xdr:nvGraphicFramePr>
        <xdr:cNvPr id="8" name="Biểu đồ 12">
          <a:extLst>
            <a:ext uri="{FF2B5EF4-FFF2-40B4-BE49-F238E27FC236}">
              <a16:creationId xmlns:a16="http://schemas.microsoft.com/office/drawing/2014/main" id="{00000000-0008-0000-0700-000008000000}"/>
            </a:ext>
            <a:ext uri="{147F2762-F138-4A5C-976F-8EAC2B608ADB}">
              <a16:predDERef xmlns:a16="http://schemas.microsoft.com/office/drawing/2014/main" pred="{C939C2BD-1443-D866-B71B-3E7C664BF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1819275</xdr:colOff>
      <xdr:row>0</xdr:row>
      <xdr:rowOff>0</xdr:rowOff>
    </xdr:from>
    <xdr:to>
      <xdr:col>10</xdr:col>
      <xdr:colOff>9525</xdr:colOff>
      <xdr:row>11</xdr:row>
      <xdr:rowOff>180975</xdr:rowOff>
    </xdr:to>
    <xdr:graphicFrame macro="">
      <xdr:nvGraphicFramePr>
        <xdr:cNvPr id="4" name="Biểu đồ 13">
          <a:extLst>
            <a:ext uri="{FF2B5EF4-FFF2-40B4-BE49-F238E27FC236}">
              <a16:creationId xmlns:a16="http://schemas.microsoft.com/office/drawing/2014/main" id="{00000000-0008-0000-0700-000004000000}"/>
            </a:ext>
            <a:ext uri="{147F2762-F138-4A5C-976F-8EAC2B608ADB}">
              <a16:predDERef xmlns:a16="http://schemas.microsoft.com/office/drawing/2014/main" pred="{48521AFF-1A79-901A-654D-082544293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28575</xdr:colOff>
      <xdr:row>15</xdr:row>
      <xdr:rowOff>200025</xdr:rowOff>
    </xdr:from>
    <xdr:to>
      <xdr:col>12</xdr:col>
      <xdr:colOff>9525</xdr:colOff>
      <xdr:row>23</xdr:row>
      <xdr:rowOff>190500</xdr:rowOff>
    </xdr:to>
    <xdr:graphicFrame macro="">
      <xdr:nvGraphicFramePr>
        <xdr:cNvPr id="18" name="Biểu đồ 14">
          <a:extLst>
            <a:ext uri="{FF2B5EF4-FFF2-40B4-BE49-F238E27FC236}">
              <a16:creationId xmlns:a16="http://schemas.microsoft.com/office/drawing/2014/main" id="{00000000-0008-0000-0700-000012000000}"/>
            </a:ext>
            <a:ext uri="{147F2762-F138-4A5C-976F-8EAC2B608ADB}">
              <a16:predDERef xmlns:a16="http://schemas.microsoft.com/office/drawing/2014/main" pred="{9F1557C4-478B-A3ED-8014-1C8B1C5261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áng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  <a:ext uri="{147F2762-F138-4A5C-976F-8EAC2B608ADB}">
                  <a16:predDERef xmlns:a16="http://schemas.microsoft.com/office/drawing/2014/main" pred="{08BABD07-2E95-538F-3978-F0734C3334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án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466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6</xdr:row>
      <xdr:rowOff>200025</xdr:rowOff>
    </xdr:from>
    <xdr:to>
      <xdr:col>1</xdr:col>
      <xdr:colOff>0</xdr:colOff>
      <xdr:row>14</xdr:row>
      <xdr:rowOff>200025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Khách hàng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  <a:ext uri="{147F2762-F138-4A5C-976F-8EAC2B608ADB}">
                  <a16:predDERef xmlns:a16="http://schemas.microsoft.com/office/drawing/2014/main" pred="{DB4016B7-3C51-1A26-90AC-747A24A79A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hách hàn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57325"/>
              <a:ext cx="1828800" cy="1676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14</xdr:row>
      <xdr:rowOff>200025</xdr:rowOff>
    </xdr:from>
    <xdr:to>
      <xdr:col>1</xdr:col>
      <xdr:colOff>0</xdr:colOff>
      <xdr:row>21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ã Sản phẩm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  <a:ext uri="{147F2762-F138-4A5C-976F-8EAC2B608ADB}">
                  <a16:predDERef xmlns:a16="http://schemas.microsoft.com/office/drawing/2014/main" pred="{73DB3CFE-5CE9-0516-3428-10F72ECB6C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ã Sản phẩ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133725"/>
              <a:ext cx="1828800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21</xdr:row>
      <xdr:rowOff>9525</xdr:rowOff>
    </xdr:from>
    <xdr:to>
      <xdr:col>1</xdr:col>
      <xdr:colOff>0</xdr:colOff>
      <xdr:row>27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Khu vực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  <a:ext uri="{147F2762-F138-4A5C-976F-8EAC2B608ADB}">
                  <a16:predDERef xmlns:a16="http://schemas.microsoft.com/office/drawing/2014/main" pred="{65F9109A-A422-7685-3EBB-71CFBC9A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hu vự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10075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>
    <xdr:from>
      <xdr:col>3</xdr:col>
      <xdr:colOff>752475</xdr:colOff>
      <xdr:row>23</xdr:row>
      <xdr:rowOff>190500</xdr:rowOff>
    </xdr:from>
    <xdr:to>
      <xdr:col>8</xdr:col>
      <xdr:colOff>1495425</xdr:colOff>
      <xdr:row>34</xdr:row>
      <xdr:rowOff>0</xdr:rowOff>
    </xdr:to>
    <xdr:graphicFrame macro="">
      <xdr:nvGraphicFramePr>
        <xdr:cNvPr id="28" name="Biểu đồ 7">
          <a:extLst>
            <a:ext uri="{FF2B5EF4-FFF2-40B4-BE49-F238E27FC236}">
              <a16:creationId xmlns:a16="http://schemas.microsoft.com/office/drawing/2014/main" id="{00000000-0008-0000-0700-00001C000000}"/>
            </a:ext>
            <a:ext uri="{147F2762-F138-4A5C-976F-8EAC2B608ADB}">
              <a16:predDERef xmlns:a16="http://schemas.microsoft.com/office/drawing/2014/main" pred="{976F436A-B5D6-E96F-7A7E-40906387CA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152.956138657406" createdVersion="8" refreshedVersion="8" minRefreshableVersion="3" recordCount="480" xr:uid="{B7FD7719-E577-4D5B-9E32-2216786FAD65}">
  <cacheSource type="worksheet">
    <worksheetSource name="Mtable"/>
  </cacheSource>
  <cacheFields count="9">
    <cacheField name="Mã Đơn Hàng" numFmtId="0">
      <sharedItems/>
    </cacheField>
    <cacheField name="Ngày" numFmtId="14">
      <sharedItems containsSemiMixedTypes="0" containsNonDate="0" containsDate="1" containsString="0" minDate="2025-01-01T00:00:00" maxDate="2025-03-03T00:00:00" count="61">
        <d v="2025-01-07T00:00:00"/>
        <d v="2025-02-07T00:00:00"/>
        <d v="2025-01-12T00:00:00"/>
        <d v="2025-02-08T00:00:00"/>
        <d v="2025-01-14T00:00:00"/>
        <d v="2025-02-03T00:00:00"/>
        <d v="2025-02-19T00:00:00"/>
        <d v="2025-01-13T00:00:00"/>
        <d v="2025-02-12T00:00:00"/>
        <d v="2025-02-24T00:00:00"/>
        <d v="2025-02-01T00:00:00"/>
        <d v="2025-01-31T00:00:00"/>
        <d v="2025-02-20T00:00:00"/>
        <d v="2025-01-30T00:00:00"/>
        <d v="2025-03-01T00:00:00"/>
        <d v="2025-01-02T00:00:00"/>
        <d v="2025-01-05T00:00:00"/>
        <d v="2025-01-19T00:00:00"/>
        <d v="2025-02-11T00:00:00"/>
        <d v="2025-02-18T00:00:00"/>
        <d v="2025-01-15T00:00:00"/>
        <d v="2025-01-16T00:00:00"/>
        <d v="2025-01-03T00:00:00"/>
        <d v="2025-02-09T00:00:00"/>
        <d v="2025-01-26T00:00:00"/>
        <d v="2025-02-02T00:00:00"/>
        <d v="2025-02-27T00:00:00"/>
        <d v="2025-02-23T00:00:00"/>
        <d v="2025-01-24T00:00:00"/>
        <d v="2025-03-02T00:00:00"/>
        <d v="2025-02-15T00:00:00"/>
        <d v="2025-02-26T00:00:00"/>
        <d v="2025-01-11T00:00:00"/>
        <d v="2025-02-10T00:00:00"/>
        <d v="2025-02-05T00:00:00"/>
        <d v="2025-01-06T00:00:00"/>
        <d v="2025-02-04T00:00:00"/>
        <d v="2025-01-18T00:00:00"/>
        <d v="2025-01-08T00:00:00"/>
        <d v="2025-01-10T00:00:00"/>
        <d v="2025-01-04T00:00:00"/>
        <d v="2025-01-23T00:00:00"/>
        <d v="2025-02-25T00:00:00"/>
        <d v="2025-01-28T00:00:00"/>
        <d v="2025-01-09T00:00:00"/>
        <d v="2025-01-21T00:00:00"/>
        <d v="2025-02-14T00:00:00"/>
        <d v="2025-01-20T00:00:00"/>
        <d v="2025-01-25T00:00:00"/>
        <d v="2025-02-21T00:00:00"/>
        <d v="2025-02-22T00:00:00"/>
        <d v="2025-02-28T00:00:00"/>
        <d v="2025-02-16T00:00:00"/>
        <d v="2025-01-29T00:00:00"/>
        <d v="2025-01-22T00:00:00"/>
        <d v="2025-01-27T00:00:00"/>
        <d v="2025-01-17T00:00:00"/>
        <d v="2025-02-06T00:00:00"/>
        <d v="2025-02-17T00:00:00"/>
        <d v="2025-02-13T00:00:00"/>
        <d v="2025-01-01T00:00:00"/>
      </sharedItems>
    </cacheField>
    <cacheField name="Tháng" numFmtId="0">
      <sharedItems containsSemiMixedTypes="0" containsString="0" containsNumber="1" containsInteger="1" minValue="1" maxValue="3" count="3">
        <n v="1"/>
        <n v="2"/>
        <n v="3"/>
      </sharedItems>
    </cacheField>
    <cacheField name="Quý" numFmtId="0">
      <sharedItems containsSemiMixedTypes="0" containsString="0" containsNumber="1" containsInteger="1" minValue="1" maxValue="1"/>
    </cacheField>
    <cacheField name="Khách hàng" numFmtId="0">
      <sharedItems count="5">
        <s v="Agent D"/>
        <s v="E-commerce E"/>
        <s v="Shop A"/>
        <s v="Supermarket C"/>
        <s v="Shop B"/>
      </sharedItems>
    </cacheField>
    <cacheField name="Mã Sản phẩm" numFmtId="0">
      <sharedItems count="3">
        <s v="AS002"/>
        <s v="QT003"/>
        <s v="AT001"/>
      </sharedItems>
    </cacheField>
    <cacheField name="Khu vực" numFmtId="0">
      <sharedItems count="2">
        <s v="North"/>
        <s v="South"/>
      </sharedItems>
    </cacheField>
    <cacheField name="Số lượng" numFmtId="1">
      <sharedItems containsSemiMixedTypes="0" containsString="0" containsNumber="1" containsInteger="1" minValue="10" maxValue="100" count="90">
        <n v="25"/>
        <n v="17"/>
        <n v="99"/>
        <n v="65"/>
        <n v="45"/>
        <n v="77"/>
        <n v="62"/>
        <n v="29"/>
        <n v="42"/>
        <n v="48"/>
        <n v="24"/>
        <n v="49"/>
        <n v="26"/>
        <n v="44"/>
        <n v="79"/>
        <n v="50"/>
        <n v="51"/>
        <n v="60"/>
        <n v="96"/>
        <n v="31"/>
        <n v="23"/>
        <n v="93"/>
        <n v="66"/>
        <n v="75"/>
        <n v="74"/>
        <n v="100"/>
        <n v="41"/>
        <n v="38"/>
        <n v="90"/>
        <n v="89"/>
        <n v="63"/>
        <n v="16"/>
        <n v="12"/>
        <n v="87"/>
        <n v="13"/>
        <n v="71"/>
        <n v="98"/>
        <n v="55"/>
        <n v="19"/>
        <n v="94"/>
        <n v="86"/>
        <n v="61"/>
        <n v="97"/>
        <n v="28"/>
        <n v="84"/>
        <n v="14"/>
        <n v="27"/>
        <n v="58"/>
        <n v="64"/>
        <n v="78"/>
        <n v="59"/>
        <n v="32"/>
        <n v="21"/>
        <n v="54"/>
        <n v="18"/>
        <n v="91"/>
        <n v="88"/>
        <n v="82"/>
        <n v="85"/>
        <n v="11"/>
        <n v="37"/>
        <n v="36"/>
        <n v="81"/>
        <n v="92"/>
        <n v="53"/>
        <n v="80"/>
        <n v="39"/>
        <n v="47"/>
        <n v="33"/>
        <n v="70"/>
        <n v="68"/>
        <n v="76"/>
        <n v="20"/>
        <n v="69"/>
        <n v="52"/>
        <n v="56"/>
        <n v="35"/>
        <n v="46"/>
        <n v="95"/>
        <n v="15"/>
        <n v="43"/>
        <n v="73"/>
        <n v="10"/>
        <n v="34"/>
        <n v="67"/>
        <n v="30"/>
        <n v="83"/>
        <n v="57"/>
        <n v="72"/>
        <n v="40"/>
      </sharedItems>
    </cacheField>
    <cacheField name="Doanh thu" numFmtId="1">
      <sharedItems containsSemiMixedTypes="0" containsString="0" containsNumber="1" containsInteger="1" minValue="1500000" maxValue="50000000"/>
    </cacheField>
  </cacheFields>
  <extLst>
    <ext xmlns:x14="http://schemas.microsoft.com/office/spreadsheetml/2009/9/main" uri="{725AE2AE-9491-48be-B2B4-4EB974FC3084}">
      <x14:pivotCacheDefinition pivotCacheId="720898858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s v="ORD1000"/>
    <x v="0"/>
    <x v="0"/>
    <n v="1"/>
    <x v="0"/>
    <x v="0"/>
    <x v="0"/>
    <x v="0"/>
    <n v="8750000"/>
  </r>
  <r>
    <s v="ORD1001"/>
    <x v="1"/>
    <x v="1"/>
    <n v="1"/>
    <x v="1"/>
    <x v="0"/>
    <x v="0"/>
    <x v="1"/>
    <n v="5950000"/>
  </r>
  <r>
    <s v="ORD1002"/>
    <x v="2"/>
    <x v="0"/>
    <n v="1"/>
    <x v="2"/>
    <x v="0"/>
    <x v="0"/>
    <x v="2"/>
    <n v="34650000"/>
  </r>
  <r>
    <s v="ORD1003"/>
    <x v="1"/>
    <x v="1"/>
    <n v="1"/>
    <x v="3"/>
    <x v="1"/>
    <x v="1"/>
    <x v="3"/>
    <n v="32500000"/>
  </r>
  <r>
    <s v="ORD1004"/>
    <x v="3"/>
    <x v="1"/>
    <n v="1"/>
    <x v="4"/>
    <x v="1"/>
    <x v="0"/>
    <x v="4"/>
    <n v="22500000"/>
  </r>
  <r>
    <s v="ORD1005"/>
    <x v="4"/>
    <x v="0"/>
    <n v="1"/>
    <x v="4"/>
    <x v="1"/>
    <x v="0"/>
    <x v="5"/>
    <n v="38500000"/>
  </r>
  <r>
    <s v="ORD1006"/>
    <x v="5"/>
    <x v="1"/>
    <n v="1"/>
    <x v="2"/>
    <x v="2"/>
    <x v="1"/>
    <x v="6"/>
    <n v="9300000"/>
  </r>
  <r>
    <s v="ORD1007"/>
    <x v="6"/>
    <x v="1"/>
    <n v="1"/>
    <x v="0"/>
    <x v="0"/>
    <x v="0"/>
    <x v="7"/>
    <n v="10150000"/>
  </r>
  <r>
    <s v="ORD1008"/>
    <x v="7"/>
    <x v="0"/>
    <n v="1"/>
    <x v="3"/>
    <x v="1"/>
    <x v="0"/>
    <x v="8"/>
    <n v="21000000"/>
  </r>
  <r>
    <s v="ORD1009"/>
    <x v="8"/>
    <x v="1"/>
    <n v="1"/>
    <x v="1"/>
    <x v="2"/>
    <x v="0"/>
    <x v="9"/>
    <n v="7200000"/>
  </r>
  <r>
    <s v="ORD1010"/>
    <x v="9"/>
    <x v="1"/>
    <n v="1"/>
    <x v="1"/>
    <x v="0"/>
    <x v="0"/>
    <x v="10"/>
    <n v="8400000"/>
  </r>
  <r>
    <s v="ORD1011"/>
    <x v="10"/>
    <x v="1"/>
    <n v="1"/>
    <x v="0"/>
    <x v="1"/>
    <x v="0"/>
    <x v="11"/>
    <n v="24500000"/>
  </r>
  <r>
    <s v="ORD1012"/>
    <x v="11"/>
    <x v="0"/>
    <n v="1"/>
    <x v="3"/>
    <x v="1"/>
    <x v="0"/>
    <x v="12"/>
    <n v="13000000"/>
  </r>
  <r>
    <s v="ORD1013"/>
    <x v="12"/>
    <x v="1"/>
    <n v="1"/>
    <x v="0"/>
    <x v="0"/>
    <x v="1"/>
    <x v="13"/>
    <n v="15400000"/>
  </r>
  <r>
    <s v="ORD1014"/>
    <x v="13"/>
    <x v="0"/>
    <n v="1"/>
    <x v="0"/>
    <x v="2"/>
    <x v="1"/>
    <x v="14"/>
    <n v="11850000"/>
  </r>
  <r>
    <s v="ORD1015"/>
    <x v="14"/>
    <x v="2"/>
    <n v="1"/>
    <x v="0"/>
    <x v="2"/>
    <x v="1"/>
    <x v="15"/>
    <n v="7500000"/>
  </r>
  <r>
    <s v="ORD1016"/>
    <x v="15"/>
    <x v="0"/>
    <n v="1"/>
    <x v="2"/>
    <x v="1"/>
    <x v="0"/>
    <x v="16"/>
    <n v="25500000"/>
  </r>
  <r>
    <s v="ORD1017"/>
    <x v="16"/>
    <x v="0"/>
    <n v="1"/>
    <x v="0"/>
    <x v="2"/>
    <x v="1"/>
    <x v="17"/>
    <n v="9000000"/>
  </r>
  <r>
    <s v="ORD1018"/>
    <x v="17"/>
    <x v="0"/>
    <n v="1"/>
    <x v="2"/>
    <x v="1"/>
    <x v="0"/>
    <x v="18"/>
    <n v="48000000"/>
  </r>
  <r>
    <s v="ORD1019"/>
    <x v="18"/>
    <x v="1"/>
    <n v="1"/>
    <x v="3"/>
    <x v="0"/>
    <x v="0"/>
    <x v="19"/>
    <n v="10850000"/>
  </r>
  <r>
    <s v="ORD1020"/>
    <x v="19"/>
    <x v="1"/>
    <n v="1"/>
    <x v="4"/>
    <x v="0"/>
    <x v="1"/>
    <x v="20"/>
    <n v="8050000"/>
  </r>
  <r>
    <s v="ORD1021"/>
    <x v="20"/>
    <x v="0"/>
    <n v="1"/>
    <x v="2"/>
    <x v="1"/>
    <x v="1"/>
    <x v="21"/>
    <n v="46500000"/>
  </r>
  <r>
    <s v="ORD1022"/>
    <x v="21"/>
    <x v="0"/>
    <n v="1"/>
    <x v="1"/>
    <x v="1"/>
    <x v="1"/>
    <x v="22"/>
    <n v="33000000"/>
  </r>
  <r>
    <s v="ORD1023"/>
    <x v="0"/>
    <x v="0"/>
    <n v="1"/>
    <x v="1"/>
    <x v="2"/>
    <x v="0"/>
    <x v="19"/>
    <n v="4650000"/>
  </r>
  <r>
    <s v="ORD1024"/>
    <x v="14"/>
    <x v="2"/>
    <n v="1"/>
    <x v="2"/>
    <x v="2"/>
    <x v="0"/>
    <x v="23"/>
    <n v="11250000"/>
  </r>
  <r>
    <s v="ORD1025"/>
    <x v="11"/>
    <x v="0"/>
    <n v="1"/>
    <x v="3"/>
    <x v="1"/>
    <x v="0"/>
    <x v="16"/>
    <n v="25500000"/>
  </r>
  <r>
    <s v="ORD1026"/>
    <x v="19"/>
    <x v="1"/>
    <n v="1"/>
    <x v="0"/>
    <x v="1"/>
    <x v="1"/>
    <x v="24"/>
    <n v="37000000"/>
  </r>
  <r>
    <s v="ORD1027"/>
    <x v="15"/>
    <x v="0"/>
    <n v="1"/>
    <x v="2"/>
    <x v="0"/>
    <x v="0"/>
    <x v="25"/>
    <n v="35000000"/>
  </r>
  <r>
    <s v="ORD1028"/>
    <x v="22"/>
    <x v="0"/>
    <n v="1"/>
    <x v="1"/>
    <x v="1"/>
    <x v="0"/>
    <x v="2"/>
    <n v="49500000"/>
  </r>
  <r>
    <s v="ORD1029"/>
    <x v="10"/>
    <x v="1"/>
    <n v="1"/>
    <x v="4"/>
    <x v="1"/>
    <x v="0"/>
    <x v="26"/>
    <n v="20500000"/>
  </r>
  <r>
    <s v="ORD1030"/>
    <x v="9"/>
    <x v="1"/>
    <n v="1"/>
    <x v="0"/>
    <x v="0"/>
    <x v="0"/>
    <x v="27"/>
    <n v="13300000"/>
  </r>
  <r>
    <s v="ORD1031"/>
    <x v="23"/>
    <x v="1"/>
    <n v="1"/>
    <x v="4"/>
    <x v="0"/>
    <x v="1"/>
    <x v="15"/>
    <n v="17500000"/>
  </r>
  <r>
    <s v="ORD1032"/>
    <x v="24"/>
    <x v="0"/>
    <n v="1"/>
    <x v="4"/>
    <x v="0"/>
    <x v="1"/>
    <x v="28"/>
    <n v="31500000"/>
  </r>
  <r>
    <s v="ORD1033"/>
    <x v="25"/>
    <x v="1"/>
    <n v="1"/>
    <x v="0"/>
    <x v="0"/>
    <x v="1"/>
    <x v="29"/>
    <n v="31150000"/>
  </r>
  <r>
    <s v="ORD1034"/>
    <x v="26"/>
    <x v="1"/>
    <n v="1"/>
    <x v="3"/>
    <x v="1"/>
    <x v="0"/>
    <x v="30"/>
    <n v="31500000"/>
  </r>
  <r>
    <s v="ORD1035"/>
    <x v="27"/>
    <x v="1"/>
    <n v="1"/>
    <x v="3"/>
    <x v="2"/>
    <x v="1"/>
    <x v="31"/>
    <n v="2400000"/>
  </r>
  <r>
    <s v="ORD1036"/>
    <x v="28"/>
    <x v="0"/>
    <n v="1"/>
    <x v="2"/>
    <x v="0"/>
    <x v="0"/>
    <x v="32"/>
    <n v="4200000"/>
  </r>
  <r>
    <s v="ORD1037"/>
    <x v="21"/>
    <x v="0"/>
    <n v="1"/>
    <x v="3"/>
    <x v="2"/>
    <x v="0"/>
    <x v="33"/>
    <n v="13050000"/>
  </r>
  <r>
    <s v="ORD1038"/>
    <x v="8"/>
    <x v="1"/>
    <n v="1"/>
    <x v="0"/>
    <x v="2"/>
    <x v="0"/>
    <x v="34"/>
    <n v="1950000"/>
  </r>
  <r>
    <s v="ORD1039"/>
    <x v="29"/>
    <x v="2"/>
    <n v="1"/>
    <x v="1"/>
    <x v="0"/>
    <x v="0"/>
    <x v="34"/>
    <n v="4550000"/>
  </r>
  <r>
    <s v="ORD1040"/>
    <x v="19"/>
    <x v="1"/>
    <n v="1"/>
    <x v="2"/>
    <x v="2"/>
    <x v="0"/>
    <x v="35"/>
    <n v="10650000"/>
  </r>
  <r>
    <s v="ORD1041"/>
    <x v="23"/>
    <x v="1"/>
    <n v="1"/>
    <x v="2"/>
    <x v="1"/>
    <x v="1"/>
    <x v="8"/>
    <n v="21000000"/>
  </r>
  <r>
    <s v="ORD1042"/>
    <x v="30"/>
    <x v="1"/>
    <n v="1"/>
    <x v="4"/>
    <x v="1"/>
    <x v="1"/>
    <x v="36"/>
    <n v="49000000"/>
  </r>
  <r>
    <s v="ORD1043"/>
    <x v="31"/>
    <x v="1"/>
    <n v="1"/>
    <x v="4"/>
    <x v="0"/>
    <x v="1"/>
    <x v="37"/>
    <n v="19250000"/>
  </r>
  <r>
    <s v="ORD1044"/>
    <x v="6"/>
    <x v="1"/>
    <n v="1"/>
    <x v="0"/>
    <x v="1"/>
    <x v="0"/>
    <x v="38"/>
    <n v="9500000"/>
  </r>
  <r>
    <s v="ORD1045"/>
    <x v="10"/>
    <x v="1"/>
    <n v="1"/>
    <x v="0"/>
    <x v="1"/>
    <x v="1"/>
    <x v="19"/>
    <n v="15500000"/>
  </r>
  <r>
    <s v="ORD1046"/>
    <x v="32"/>
    <x v="0"/>
    <n v="1"/>
    <x v="4"/>
    <x v="1"/>
    <x v="0"/>
    <x v="39"/>
    <n v="47000000"/>
  </r>
  <r>
    <s v="ORD1047"/>
    <x v="33"/>
    <x v="1"/>
    <n v="1"/>
    <x v="1"/>
    <x v="1"/>
    <x v="0"/>
    <x v="40"/>
    <n v="43000000"/>
  </r>
  <r>
    <s v="ORD1048"/>
    <x v="15"/>
    <x v="0"/>
    <n v="1"/>
    <x v="0"/>
    <x v="1"/>
    <x v="0"/>
    <x v="41"/>
    <n v="30500000"/>
  </r>
  <r>
    <s v="ORD1049"/>
    <x v="14"/>
    <x v="2"/>
    <n v="1"/>
    <x v="2"/>
    <x v="2"/>
    <x v="0"/>
    <x v="42"/>
    <n v="14550000"/>
  </r>
  <r>
    <s v="ORD1050"/>
    <x v="31"/>
    <x v="1"/>
    <n v="1"/>
    <x v="1"/>
    <x v="1"/>
    <x v="1"/>
    <x v="43"/>
    <n v="14000000"/>
  </r>
  <r>
    <s v="ORD1051"/>
    <x v="3"/>
    <x v="1"/>
    <n v="1"/>
    <x v="0"/>
    <x v="2"/>
    <x v="1"/>
    <x v="8"/>
    <n v="6300000"/>
  </r>
  <r>
    <s v="ORD1052"/>
    <x v="6"/>
    <x v="1"/>
    <n v="1"/>
    <x v="4"/>
    <x v="2"/>
    <x v="1"/>
    <x v="7"/>
    <n v="4350000"/>
  </r>
  <r>
    <s v="ORD1053"/>
    <x v="11"/>
    <x v="0"/>
    <n v="1"/>
    <x v="2"/>
    <x v="2"/>
    <x v="0"/>
    <x v="44"/>
    <n v="12600000"/>
  </r>
  <r>
    <s v="ORD1054"/>
    <x v="26"/>
    <x v="1"/>
    <n v="1"/>
    <x v="1"/>
    <x v="2"/>
    <x v="1"/>
    <x v="15"/>
    <n v="7500000"/>
  </r>
  <r>
    <s v="ORD1055"/>
    <x v="34"/>
    <x v="1"/>
    <n v="1"/>
    <x v="3"/>
    <x v="1"/>
    <x v="0"/>
    <x v="45"/>
    <n v="7000000"/>
  </r>
  <r>
    <s v="ORD1056"/>
    <x v="6"/>
    <x v="1"/>
    <n v="1"/>
    <x v="4"/>
    <x v="1"/>
    <x v="1"/>
    <x v="46"/>
    <n v="13500000"/>
  </r>
  <r>
    <s v="ORD1057"/>
    <x v="35"/>
    <x v="0"/>
    <n v="1"/>
    <x v="1"/>
    <x v="0"/>
    <x v="1"/>
    <x v="29"/>
    <n v="31150000"/>
  </r>
  <r>
    <s v="ORD1058"/>
    <x v="36"/>
    <x v="1"/>
    <n v="1"/>
    <x v="1"/>
    <x v="2"/>
    <x v="1"/>
    <x v="8"/>
    <n v="6300000"/>
  </r>
  <r>
    <s v="ORD1059"/>
    <x v="12"/>
    <x v="1"/>
    <n v="1"/>
    <x v="0"/>
    <x v="0"/>
    <x v="1"/>
    <x v="47"/>
    <n v="20300000"/>
  </r>
  <r>
    <s v="ORD1060"/>
    <x v="28"/>
    <x v="0"/>
    <n v="1"/>
    <x v="4"/>
    <x v="2"/>
    <x v="0"/>
    <x v="21"/>
    <n v="13950000"/>
  </r>
  <r>
    <s v="ORD1061"/>
    <x v="36"/>
    <x v="1"/>
    <n v="1"/>
    <x v="0"/>
    <x v="0"/>
    <x v="1"/>
    <x v="3"/>
    <n v="22750000"/>
  </r>
  <r>
    <s v="ORD1062"/>
    <x v="5"/>
    <x v="1"/>
    <n v="1"/>
    <x v="0"/>
    <x v="0"/>
    <x v="0"/>
    <x v="48"/>
    <n v="22400000"/>
  </r>
  <r>
    <s v="ORD1063"/>
    <x v="37"/>
    <x v="0"/>
    <n v="1"/>
    <x v="1"/>
    <x v="0"/>
    <x v="1"/>
    <x v="38"/>
    <n v="6650000"/>
  </r>
  <r>
    <s v="ORD1064"/>
    <x v="1"/>
    <x v="1"/>
    <n v="1"/>
    <x v="0"/>
    <x v="0"/>
    <x v="1"/>
    <x v="49"/>
    <n v="27300000"/>
  </r>
  <r>
    <s v="ORD1065"/>
    <x v="27"/>
    <x v="1"/>
    <n v="1"/>
    <x v="3"/>
    <x v="2"/>
    <x v="1"/>
    <x v="25"/>
    <n v="15000000"/>
  </r>
  <r>
    <s v="ORD1066"/>
    <x v="19"/>
    <x v="1"/>
    <n v="1"/>
    <x v="3"/>
    <x v="2"/>
    <x v="1"/>
    <x v="50"/>
    <n v="8850000"/>
  </r>
  <r>
    <s v="ORD1067"/>
    <x v="3"/>
    <x v="1"/>
    <n v="1"/>
    <x v="3"/>
    <x v="2"/>
    <x v="1"/>
    <x v="51"/>
    <n v="4800000"/>
  </r>
  <r>
    <s v="ORD1068"/>
    <x v="28"/>
    <x v="0"/>
    <n v="1"/>
    <x v="0"/>
    <x v="2"/>
    <x v="1"/>
    <x v="52"/>
    <n v="3150000"/>
  </r>
  <r>
    <s v="ORD1069"/>
    <x v="38"/>
    <x v="0"/>
    <n v="1"/>
    <x v="4"/>
    <x v="2"/>
    <x v="1"/>
    <x v="53"/>
    <n v="8100000"/>
  </r>
  <r>
    <s v="ORD1070"/>
    <x v="0"/>
    <x v="0"/>
    <n v="1"/>
    <x v="2"/>
    <x v="1"/>
    <x v="1"/>
    <x v="54"/>
    <n v="9000000"/>
  </r>
  <r>
    <s v="ORD1071"/>
    <x v="39"/>
    <x v="0"/>
    <n v="1"/>
    <x v="4"/>
    <x v="0"/>
    <x v="0"/>
    <x v="55"/>
    <n v="31850000"/>
  </r>
  <r>
    <s v="ORD1072"/>
    <x v="40"/>
    <x v="0"/>
    <n v="1"/>
    <x v="3"/>
    <x v="2"/>
    <x v="0"/>
    <x v="43"/>
    <n v="4200000"/>
  </r>
  <r>
    <s v="ORD1073"/>
    <x v="14"/>
    <x v="2"/>
    <n v="1"/>
    <x v="0"/>
    <x v="2"/>
    <x v="1"/>
    <x v="56"/>
    <n v="13200000"/>
  </r>
  <r>
    <s v="ORD1074"/>
    <x v="40"/>
    <x v="0"/>
    <n v="1"/>
    <x v="0"/>
    <x v="0"/>
    <x v="1"/>
    <x v="30"/>
    <n v="22050000"/>
  </r>
  <r>
    <s v="ORD1075"/>
    <x v="40"/>
    <x v="0"/>
    <n v="1"/>
    <x v="2"/>
    <x v="2"/>
    <x v="1"/>
    <x v="57"/>
    <n v="12300000"/>
  </r>
  <r>
    <s v="ORD1076"/>
    <x v="41"/>
    <x v="0"/>
    <n v="1"/>
    <x v="4"/>
    <x v="1"/>
    <x v="0"/>
    <x v="22"/>
    <n v="33000000"/>
  </r>
  <r>
    <s v="ORD1077"/>
    <x v="18"/>
    <x v="1"/>
    <n v="1"/>
    <x v="1"/>
    <x v="0"/>
    <x v="0"/>
    <x v="58"/>
    <n v="29750000"/>
  </r>
  <r>
    <s v="ORD1078"/>
    <x v="11"/>
    <x v="0"/>
    <n v="1"/>
    <x v="0"/>
    <x v="2"/>
    <x v="0"/>
    <x v="4"/>
    <n v="6750000"/>
  </r>
  <r>
    <s v="ORD1079"/>
    <x v="41"/>
    <x v="0"/>
    <n v="1"/>
    <x v="2"/>
    <x v="2"/>
    <x v="1"/>
    <x v="26"/>
    <n v="6150000"/>
  </r>
  <r>
    <s v="ORD1080"/>
    <x v="40"/>
    <x v="0"/>
    <n v="1"/>
    <x v="1"/>
    <x v="0"/>
    <x v="0"/>
    <x v="20"/>
    <n v="8050000"/>
  </r>
  <r>
    <s v="ORD1081"/>
    <x v="28"/>
    <x v="0"/>
    <n v="1"/>
    <x v="3"/>
    <x v="0"/>
    <x v="0"/>
    <x v="59"/>
    <n v="3850000"/>
  </r>
  <r>
    <s v="ORD1082"/>
    <x v="21"/>
    <x v="0"/>
    <n v="1"/>
    <x v="1"/>
    <x v="0"/>
    <x v="0"/>
    <x v="46"/>
    <n v="9450000"/>
  </r>
  <r>
    <s v="ORD1083"/>
    <x v="29"/>
    <x v="2"/>
    <n v="1"/>
    <x v="3"/>
    <x v="2"/>
    <x v="1"/>
    <x v="30"/>
    <n v="9450000"/>
  </r>
  <r>
    <s v="ORD1084"/>
    <x v="11"/>
    <x v="0"/>
    <n v="1"/>
    <x v="0"/>
    <x v="2"/>
    <x v="0"/>
    <x v="60"/>
    <n v="5550000"/>
  </r>
  <r>
    <s v="ORD1085"/>
    <x v="20"/>
    <x v="0"/>
    <n v="1"/>
    <x v="1"/>
    <x v="0"/>
    <x v="0"/>
    <x v="48"/>
    <n v="22400000"/>
  </r>
  <r>
    <s v="ORD1086"/>
    <x v="40"/>
    <x v="0"/>
    <n v="1"/>
    <x v="1"/>
    <x v="1"/>
    <x v="1"/>
    <x v="34"/>
    <n v="6500000"/>
  </r>
  <r>
    <s v="ORD1087"/>
    <x v="29"/>
    <x v="2"/>
    <n v="1"/>
    <x v="1"/>
    <x v="0"/>
    <x v="0"/>
    <x v="61"/>
    <n v="12600000"/>
  </r>
  <r>
    <s v="ORD1088"/>
    <x v="14"/>
    <x v="2"/>
    <n v="1"/>
    <x v="0"/>
    <x v="2"/>
    <x v="1"/>
    <x v="62"/>
    <n v="12150000"/>
  </r>
  <r>
    <s v="ORD1089"/>
    <x v="15"/>
    <x v="0"/>
    <n v="1"/>
    <x v="0"/>
    <x v="1"/>
    <x v="0"/>
    <x v="57"/>
    <n v="41000000"/>
  </r>
  <r>
    <s v="ORD1090"/>
    <x v="11"/>
    <x v="0"/>
    <n v="1"/>
    <x v="4"/>
    <x v="2"/>
    <x v="1"/>
    <x v="5"/>
    <n v="11550000"/>
  </r>
  <r>
    <s v="ORD1091"/>
    <x v="24"/>
    <x v="0"/>
    <n v="1"/>
    <x v="2"/>
    <x v="1"/>
    <x v="1"/>
    <x v="8"/>
    <n v="21000000"/>
  </r>
  <r>
    <s v="ORD1092"/>
    <x v="12"/>
    <x v="1"/>
    <n v="1"/>
    <x v="4"/>
    <x v="2"/>
    <x v="0"/>
    <x v="36"/>
    <n v="14700000"/>
  </r>
  <r>
    <s v="ORD1093"/>
    <x v="42"/>
    <x v="1"/>
    <n v="1"/>
    <x v="4"/>
    <x v="0"/>
    <x v="0"/>
    <x v="11"/>
    <n v="17150000"/>
  </r>
  <r>
    <s v="ORD1094"/>
    <x v="4"/>
    <x v="0"/>
    <n v="1"/>
    <x v="1"/>
    <x v="1"/>
    <x v="0"/>
    <x v="63"/>
    <n v="46000000"/>
  </r>
  <r>
    <s v="ORD1095"/>
    <x v="9"/>
    <x v="1"/>
    <n v="1"/>
    <x v="2"/>
    <x v="1"/>
    <x v="1"/>
    <x v="64"/>
    <n v="26500000"/>
  </r>
  <r>
    <s v="ORD1096"/>
    <x v="34"/>
    <x v="1"/>
    <n v="1"/>
    <x v="4"/>
    <x v="0"/>
    <x v="1"/>
    <x v="1"/>
    <n v="5950000"/>
  </r>
  <r>
    <s v="ORD1097"/>
    <x v="24"/>
    <x v="0"/>
    <n v="1"/>
    <x v="2"/>
    <x v="0"/>
    <x v="1"/>
    <x v="65"/>
    <n v="28000000"/>
  </r>
  <r>
    <s v="ORD1098"/>
    <x v="5"/>
    <x v="1"/>
    <n v="1"/>
    <x v="3"/>
    <x v="2"/>
    <x v="1"/>
    <x v="43"/>
    <n v="4200000"/>
  </r>
  <r>
    <s v="ORD1099"/>
    <x v="0"/>
    <x v="0"/>
    <n v="1"/>
    <x v="2"/>
    <x v="2"/>
    <x v="0"/>
    <x v="16"/>
    <n v="7650000"/>
  </r>
  <r>
    <s v="ORD1100"/>
    <x v="42"/>
    <x v="1"/>
    <n v="1"/>
    <x v="0"/>
    <x v="1"/>
    <x v="0"/>
    <x v="13"/>
    <n v="22000000"/>
  </r>
  <r>
    <s v="ORD1101"/>
    <x v="13"/>
    <x v="0"/>
    <n v="1"/>
    <x v="0"/>
    <x v="2"/>
    <x v="1"/>
    <x v="17"/>
    <n v="9000000"/>
  </r>
  <r>
    <s v="ORD1102"/>
    <x v="6"/>
    <x v="1"/>
    <n v="1"/>
    <x v="3"/>
    <x v="0"/>
    <x v="1"/>
    <x v="61"/>
    <n v="12600000"/>
  </r>
  <r>
    <s v="ORD1103"/>
    <x v="26"/>
    <x v="1"/>
    <n v="1"/>
    <x v="3"/>
    <x v="0"/>
    <x v="1"/>
    <x v="66"/>
    <n v="13650000"/>
  </r>
  <r>
    <s v="ORD1104"/>
    <x v="9"/>
    <x v="1"/>
    <n v="1"/>
    <x v="0"/>
    <x v="0"/>
    <x v="0"/>
    <x v="67"/>
    <n v="16450000"/>
  </r>
  <r>
    <s v="ORD1105"/>
    <x v="21"/>
    <x v="0"/>
    <n v="1"/>
    <x v="4"/>
    <x v="0"/>
    <x v="1"/>
    <x v="55"/>
    <n v="31850000"/>
  </r>
  <r>
    <s v="ORD1106"/>
    <x v="21"/>
    <x v="0"/>
    <n v="1"/>
    <x v="4"/>
    <x v="1"/>
    <x v="0"/>
    <x v="2"/>
    <n v="49500000"/>
  </r>
  <r>
    <s v="ORD1107"/>
    <x v="3"/>
    <x v="1"/>
    <n v="1"/>
    <x v="0"/>
    <x v="1"/>
    <x v="1"/>
    <x v="68"/>
    <n v="16500000"/>
  </r>
  <r>
    <s v="ORD1108"/>
    <x v="30"/>
    <x v="1"/>
    <n v="1"/>
    <x v="3"/>
    <x v="1"/>
    <x v="0"/>
    <x v="56"/>
    <n v="44000000"/>
  </r>
  <r>
    <s v="ORD1109"/>
    <x v="18"/>
    <x v="1"/>
    <n v="1"/>
    <x v="4"/>
    <x v="0"/>
    <x v="1"/>
    <x v="69"/>
    <n v="24500000"/>
  </r>
  <r>
    <s v="ORD1110"/>
    <x v="26"/>
    <x v="1"/>
    <n v="1"/>
    <x v="0"/>
    <x v="1"/>
    <x v="0"/>
    <x v="70"/>
    <n v="34000000"/>
  </r>
  <r>
    <s v="ORD1111"/>
    <x v="12"/>
    <x v="1"/>
    <n v="1"/>
    <x v="0"/>
    <x v="0"/>
    <x v="0"/>
    <x v="71"/>
    <n v="26600000"/>
  </r>
  <r>
    <s v="ORD1112"/>
    <x v="41"/>
    <x v="0"/>
    <n v="1"/>
    <x v="4"/>
    <x v="0"/>
    <x v="0"/>
    <x v="61"/>
    <n v="12600000"/>
  </r>
  <r>
    <s v="ORD1113"/>
    <x v="43"/>
    <x v="0"/>
    <n v="1"/>
    <x v="1"/>
    <x v="0"/>
    <x v="0"/>
    <x v="38"/>
    <n v="6650000"/>
  </r>
  <r>
    <s v="ORD1114"/>
    <x v="44"/>
    <x v="0"/>
    <n v="1"/>
    <x v="0"/>
    <x v="1"/>
    <x v="0"/>
    <x v="69"/>
    <n v="35000000"/>
  </r>
  <r>
    <s v="ORD1115"/>
    <x v="39"/>
    <x v="0"/>
    <n v="1"/>
    <x v="4"/>
    <x v="2"/>
    <x v="0"/>
    <x v="29"/>
    <n v="13350000"/>
  </r>
  <r>
    <s v="ORD1116"/>
    <x v="45"/>
    <x v="0"/>
    <n v="1"/>
    <x v="1"/>
    <x v="0"/>
    <x v="0"/>
    <x v="54"/>
    <n v="6300000"/>
  </r>
  <r>
    <s v="ORD1117"/>
    <x v="46"/>
    <x v="1"/>
    <n v="1"/>
    <x v="0"/>
    <x v="1"/>
    <x v="1"/>
    <x v="15"/>
    <n v="25000000"/>
  </r>
  <r>
    <s v="ORD1118"/>
    <x v="47"/>
    <x v="0"/>
    <n v="1"/>
    <x v="3"/>
    <x v="0"/>
    <x v="1"/>
    <x v="72"/>
    <n v="7000000"/>
  </r>
  <r>
    <s v="ORD1119"/>
    <x v="46"/>
    <x v="1"/>
    <n v="1"/>
    <x v="4"/>
    <x v="2"/>
    <x v="0"/>
    <x v="66"/>
    <n v="5850000"/>
  </r>
  <r>
    <s v="ORD1120"/>
    <x v="40"/>
    <x v="0"/>
    <n v="1"/>
    <x v="2"/>
    <x v="1"/>
    <x v="1"/>
    <x v="3"/>
    <n v="32500000"/>
  </r>
  <r>
    <s v="ORD1121"/>
    <x v="45"/>
    <x v="0"/>
    <n v="1"/>
    <x v="2"/>
    <x v="0"/>
    <x v="0"/>
    <x v="33"/>
    <n v="30450000"/>
  </r>
  <r>
    <s v="ORD1122"/>
    <x v="39"/>
    <x v="0"/>
    <n v="1"/>
    <x v="2"/>
    <x v="0"/>
    <x v="1"/>
    <x v="73"/>
    <n v="24150000"/>
  </r>
  <r>
    <s v="ORD1123"/>
    <x v="22"/>
    <x v="0"/>
    <n v="1"/>
    <x v="4"/>
    <x v="1"/>
    <x v="0"/>
    <x v="30"/>
    <n v="31500000"/>
  </r>
  <r>
    <s v="ORD1124"/>
    <x v="21"/>
    <x v="0"/>
    <n v="1"/>
    <x v="0"/>
    <x v="1"/>
    <x v="0"/>
    <x v="32"/>
    <n v="6000000"/>
  </r>
  <r>
    <s v="ORD1125"/>
    <x v="30"/>
    <x v="1"/>
    <n v="1"/>
    <x v="0"/>
    <x v="2"/>
    <x v="1"/>
    <x v="14"/>
    <n v="11850000"/>
  </r>
  <r>
    <s v="ORD1126"/>
    <x v="45"/>
    <x v="0"/>
    <n v="1"/>
    <x v="2"/>
    <x v="1"/>
    <x v="1"/>
    <x v="74"/>
    <n v="26000000"/>
  </r>
  <r>
    <s v="ORD1127"/>
    <x v="47"/>
    <x v="0"/>
    <n v="1"/>
    <x v="1"/>
    <x v="1"/>
    <x v="1"/>
    <x v="13"/>
    <n v="22000000"/>
  </r>
  <r>
    <s v="ORD1128"/>
    <x v="48"/>
    <x v="0"/>
    <n v="1"/>
    <x v="4"/>
    <x v="0"/>
    <x v="0"/>
    <x v="75"/>
    <n v="19600000"/>
  </r>
  <r>
    <s v="ORD1129"/>
    <x v="32"/>
    <x v="0"/>
    <n v="1"/>
    <x v="4"/>
    <x v="1"/>
    <x v="1"/>
    <x v="15"/>
    <n v="25000000"/>
  </r>
  <r>
    <s v="ORD1130"/>
    <x v="8"/>
    <x v="1"/>
    <n v="1"/>
    <x v="0"/>
    <x v="0"/>
    <x v="0"/>
    <x v="76"/>
    <n v="12250000"/>
  </r>
  <r>
    <s v="ORD1131"/>
    <x v="6"/>
    <x v="1"/>
    <n v="1"/>
    <x v="3"/>
    <x v="1"/>
    <x v="0"/>
    <x v="24"/>
    <n v="37000000"/>
  </r>
  <r>
    <s v="ORD1132"/>
    <x v="24"/>
    <x v="0"/>
    <n v="1"/>
    <x v="2"/>
    <x v="1"/>
    <x v="1"/>
    <x v="25"/>
    <n v="50000000"/>
  </r>
  <r>
    <s v="ORD1133"/>
    <x v="26"/>
    <x v="1"/>
    <n v="1"/>
    <x v="3"/>
    <x v="0"/>
    <x v="0"/>
    <x v="35"/>
    <n v="24850000"/>
  </r>
  <r>
    <s v="ORD1134"/>
    <x v="41"/>
    <x v="0"/>
    <n v="1"/>
    <x v="0"/>
    <x v="1"/>
    <x v="1"/>
    <x v="6"/>
    <n v="31000000"/>
  </r>
  <r>
    <s v="ORD1135"/>
    <x v="24"/>
    <x v="0"/>
    <n v="1"/>
    <x v="4"/>
    <x v="2"/>
    <x v="1"/>
    <x v="48"/>
    <n v="9600000"/>
  </r>
  <r>
    <s v="ORD1136"/>
    <x v="22"/>
    <x v="0"/>
    <n v="1"/>
    <x v="4"/>
    <x v="0"/>
    <x v="1"/>
    <x v="30"/>
    <n v="22050000"/>
  </r>
  <r>
    <s v="ORD1137"/>
    <x v="37"/>
    <x v="0"/>
    <n v="1"/>
    <x v="0"/>
    <x v="2"/>
    <x v="0"/>
    <x v="27"/>
    <n v="5700000"/>
  </r>
  <r>
    <s v="ORD1138"/>
    <x v="2"/>
    <x v="0"/>
    <n v="1"/>
    <x v="1"/>
    <x v="2"/>
    <x v="0"/>
    <x v="14"/>
    <n v="11850000"/>
  </r>
  <r>
    <s v="ORD1139"/>
    <x v="40"/>
    <x v="0"/>
    <n v="1"/>
    <x v="3"/>
    <x v="0"/>
    <x v="0"/>
    <x v="51"/>
    <n v="11200000"/>
  </r>
  <r>
    <s v="ORD1140"/>
    <x v="5"/>
    <x v="1"/>
    <n v="1"/>
    <x v="3"/>
    <x v="0"/>
    <x v="1"/>
    <x v="50"/>
    <n v="20650000"/>
  </r>
  <r>
    <s v="ORD1141"/>
    <x v="6"/>
    <x v="1"/>
    <n v="1"/>
    <x v="1"/>
    <x v="1"/>
    <x v="0"/>
    <x v="35"/>
    <n v="35500000"/>
  </r>
  <r>
    <s v="ORD1142"/>
    <x v="46"/>
    <x v="1"/>
    <n v="1"/>
    <x v="0"/>
    <x v="1"/>
    <x v="0"/>
    <x v="15"/>
    <n v="25000000"/>
  </r>
  <r>
    <s v="ORD1143"/>
    <x v="2"/>
    <x v="0"/>
    <n v="1"/>
    <x v="1"/>
    <x v="2"/>
    <x v="0"/>
    <x v="12"/>
    <n v="3900000"/>
  </r>
  <r>
    <s v="ORD1144"/>
    <x v="21"/>
    <x v="0"/>
    <n v="1"/>
    <x v="2"/>
    <x v="2"/>
    <x v="0"/>
    <x v="73"/>
    <n v="10350000"/>
  </r>
  <r>
    <s v="ORD1145"/>
    <x v="23"/>
    <x v="1"/>
    <n v="1"/>
    <x v="1"/>
    <x v="0"/>
    <x v="0"/>
    <x v="12"/>
    <n v="9100000"/>
  </r>
  <r>
    <s v="ORD1146"/>
    <x v="49"/>
    <x v="1"/>
    <n v="1"/>
    <x v="4"/>
    <x v="2"/>
    <x v="1"/>
    <x v="2"/>
    <n v="14850000"/>
  </r>
  <r>
    <s v="ORD1147"/>
    <x v="6"/>
    <x v="1"/>
    <n v="1"/>
    <x v="0"/>
    <x v="0"/>
    <x v="0"/>
    <x v="27"/>
    <n v="13300000"/>
  </r>
  <r>
    <s v="ORD1148"/>
    <x v="29"/>
    <x v="2"/>
    <n v="1"/>
    <x v="3"/>
    <x v="1"/>
    <x v="0"/>
    <x v="33"/>
    <n v="43500000"/>
  </r>
  <r>
    <s v="ORD1149"/>
    <x v="10"/>
    <x v="1"/>
    <n v="1"/>
    <x v="1"/>
    <x v="0"/>
    <x v="1"/>
    <x v="49"/>
    <n v="27300000"/>
  </r>
  <r>
    <s v="ORD1150"/>
    <x v="13"/>
    <x v="0"/>
    <n v="1"/>
    <x v="2"/>
    <x v="2"/>
    <x v="1"/>
    <x v="61"/>
    <n v="5400000"/>
  </r>
  <r>
    <s v="ORD1151"/>
    <x v="22"/>
    <x v="0"/>
    <n v="1"/>
    <x v="0"/>
    <x v="1"/>
    <x v="0"/>
    <x v="21"/>
    <n v="46500000"/>
  </r>
  <r>
    <s v="ORD1152"/>
    <x v="32"/>
    <x v="0"/>
    <n v="1"/>
    <x v="4"/>
    <x v="1"/>
    <x v="1"/>
    <x v="4"/>
    <n v="22500000"/>
  </r>
  <r>
    <s v="ORD1153"/>
    <x v="40"/>
    <x v="0"/>
    <n v="1"/>
    <x v="3"/>
    <x v="2"/>
    <x v="1"/>
    <x v="63"/>
    <n v="13800000"/>
  </r>
  <r>
    <s v="ORD1154"/>
    <x v="29"/>
    <x v="2"/>
    <n v="1"/>
    <x v="2"/>
    <x v="1"/>
    <x v="1"/>
    <x v="77"/>
    <n v="23000000"/>
  </r>
  <r>
    <s v="ORD1155"/>
    <x v="8"/>
    <x v="1"/>
    <n v="1"/>
    <x v="3"/>
    <x v="0"/>
    <x v="0"/>
    <x v="59"/>
    <n v="3850000"/>
  </r>
  <r>
    <s v="ORD1156"/>
    <x v="22"/>
    <x v="0"/>
    <n v="1"/>
    <x v="2"/>
    <x v="0"/>
    <x v="1"/>
    <x v="31"/>
    <n v="5600000"/>
  </r>
  <r>
    <s v="ORD1157"/>
    <x v="2"/>
    <x v="0"/>
    <n v="1"/>
    <x v="1"/>
    <x v="1"/>
    <x v="1"/>
    <x v="69"/>
    <n v="35000000"/>
  </r>
  <r>
    <s v="ORD1158"/>
    <x v="50"/>
    <x v="1"/>
    <n v="1"/>
    <x v="4"/>
    <x v="1"/>
    <x v="1"/>
    <x v="22"/>
    <n v="33000000"/>
  </r>
  <r>
    <s v="ORD1159"/>
    <x v="47"/>
    <x v="0"/>
    <n v="1"/>
    <x v="1"/>
    <x v="2"/>
    <x v="0"/>
    <x v="27"/>
    <n v="5700000"/>
  </r>
  <r>
    <s v="ORD1160"/>
    <x v="50"/>
    <x v="1"/>
    <n v="1"/>
    <x v="1"/>
    <x v="0"/>
    <x v="0"/>
    <x v="59"/>
    <n v="3850000"/>
  </r>
  <r>
    <s v="ORD1161"/>
    <x v="51"/>
    <x v="1"/>
    <n v="1"/>
    <x v="3"/>
    <x v="1"/>
    <x v="1"/>
    <x v="4"/>
    <n v="22500000"/>
  </r>
  <r>
    <s v="ORD1162"/>
    <x v="52"/>
    <x v="1"/>
    <n v="1"/>
    <x v="2"/>
    <x v="1"/>
    <x v="0"/>
    <x v="26"/>
    <n v="20500000"/>
  </r>
  <r>
    <s v="ORD1163"/>
    <x v="18"/>
    <x v="1"/>
    <n v="1"/>
    <x v="0"/>
    <x v="1"/>
    <x v="1"/>
    <x v="62"/>
    <n v="40500000"/>
  </r>
  <r>
    <s v="ORD1164"/>
    <x v="27"/>
    <x v="1"/>
    <n v="1"/>
    <x v="4"/>
    <x v="0"/>
    <x v="0"/>
    <x v="2"/>
    <n v="34650000"/>
  </r>
  <r>
    <s v="ORD1165"/>
    <x v="33"/>
    <x v="1"/>
    <n v="1"/>
    <x v="0"/>
    <x v="1"/>
    <x v="1"/>
    <x v="2"/>
    <n v="49500000"/>
  </r>
  <r>
    <s v="ORD1166"/>
    <x v="44"/>
    <x v="0"/>
    <n v="1"/>
    <x v="2"/>
    <x v="0"/>
    <x v="0"/>
    <x v="60"/>
    <n v="12950000"/>
  </r>
  <r>
    <s v="ORD1167"/>
    <x v="3"/>
    <x v="1"/>
    <n v="1"/>
    <x v="4"/>
    <x v="1"/>
    <x v="1"/>
    <x v="64"/>
    <n v="26500000"/>
  </r>
  <r>
    <s v="ORD1168"/>
    <x v="14"/>
    <x v="2"/>
    <n v="1"/>
    <x v="1"/>
    <x v="1"/>
    <x v="0"/>
    <x v="26"/>
    <n v="20500000"/>
  </r>
  <r>
    <s v="ORD1169"/>
    <x v="1"/>
    <x v="1"/>
    <n v="1"/>
    <x v="0"/>
    <x v="1"/>
    <x v="0"/>
    <x v="8"/>
    <n v="21000000"/>
  </r>
  <r>
    <s v="ORD1170"/>
    <x v="15"/>
    <x v="0"/>
    <n v="1"/>
    <x v="0"/>
    <x v="0"/>
    <x v="0"/>
    <x v="78"/>
    <n v="33250000"/>
  </r>
  <r>
    <s v="ORD1171"/>
    <x v="53"/>
    <x v="0"/>
    <n v="1"/>
    <x v="2"/>
    <x v="2"/>
    <x v="0"/>
    <x v="10"/>
    <n v="3600000"/>
  </r>
  <r>
    <s v="ORD1172"/>
    <x v="18"/>
    <x v="1"/>
    <n v="1"/>
    <x v="0"/>
    <x v="0"/>
    <x v="1"/>
    <x v="48"/>
    <n v="22400000"/>
  </r>
  <r>
    <s v="ORD1173"/>
    <x v="4"/>
    <x v="0"/>
    <n v="1"/>
    <x v="3"/>
    <x v="2"/>
    <x v="1"/>
    <x v="68"/>
    <n v="4950000"/>
  </r>
  <r>
    <s v="ORD1174"/>
    <x v="54"/>
    <x v="0"/>
    <n v="1"/>
    <x v="1"/>
    <x v="2"/>
    <x v="0"/>
    <x v="42"/>
    <n v="14550000"/>
  </r>
  <r>
    <s v="ORD1175"/>
    <x v="55"/>
    <x v="0"/>
    <n v="1"/>
    <x v="2"/>
    <x v="1"/>
    <x v="0"/>
    <x v="68"/>
    <n v="16500000"/>
  </r>
  <r>
    <s v="ORD1176"/>
    <x v="11"/>
    <x v="0"/>
    <n v="1"/>
    <x v="3"/>
    <x v="2"/>
    <x v="0"/>
    <x v="32"/>
    <n v="1800000"/>
  </r>
  <r>
    <s v="ORD1177"/>
    <x v="51"/>
    <x v="1"/>
    <n v="1"/>
    <x v="3"/>
    <x v="0"/>
    <x v="1"/>
    <x v="52"/>
    <n v="7350000"/>
  </r>
  <r>
    <s v="ORD1178"/>
    <x v="46"/>
    <x v="1"/>
    <n v="1"/>
    <x v="1"/>
    <x v="2"/>
    <x v="1"/>
    <x v="19"/>
    <n v="4650000"/>
  </r>
  <r>
    <s v="ORD1179"/>
    <x v="48"/>
    <x v="0"/>
    <n v="1"/>
    <x v="3"/>
    <x v="1"/>
    <x v="0"/>
    <x v="54"/>
    <n v="9000000"/>
  </r>
  <r>
    <s v="ORD1180"/>
    <x v="47"/>
    <x v="0"/>
    <n v="1"/>
    <x v="3"/>
    <x v="1"/>
    <x v="1"/>
    <x v="24"/>
    <n v="37000000"/>
  </r>
  <r>
    <s v="ORD1181"/>
    <x v="50"/>
    <x v="1"/>
    <n v="1"/>
    <x v="1"/>
    <x v="1"/>
    <x v="0"/>
    <x v="36"/>
    <n v="49000000"/>
  </r>
  <r>
    <s v="ORD1182"/>
    <x v="26"/>
    <x v="1"/>
    <n v="1"/>
    <x v="0"/>
    <x v="2"/>
    <x v="0"/>
    <x v="16"/>
    <n v="7650000"/>
  </r>
  <r>
    <s v="ORD1183"/>
    <x v="27"/>
    <x v="1"/>
    <n v="1"/>
    <x v="1"/>
    <x v="2"/>
    <x v="1"/>
    <x v="48"/>
    <n v="9600000"/>
  </r>
  <r>
    <s v="ORD1184"/>
    <x v="36"/>
    <x v="1"/>
    <n v="1"/>
    <x v="4"/>
    <x v="0"/>
    <x v="1"/>
    <x v="66"/>
    <n v="13650000"/>
  </r>
  <r>
    <s v="ORD1185"/>
    <x v="27"/>
    <x v="1"/>
    <n v="1"/>
    <x v="4"/>
    <x v="0"/>
    <x v="1"/>
    <x v="57"/>
    <n v="28700000"/>
  </r>
  <r>
    <s v="ORD1186"/>
    <x v="44"/>
    <x v="0"/>
    <n v="1"/>
    <x v="2"/>
    <x v="2"/>
    <x v="0"/>
    <x v="12"/>
    <n v="3900000"/>
  </r>
  <r>
    <s v="ORD1187"/>
    <x v="48"/>
    <x v="0"/>
    <n v="1"/>
    <x v="0"/>
    <x v="1"/>
    <x v="0"/>
    <x v="79"/>
    <n v="7500000"/>
  </r>
  <r>
    <s v="ORD1188"/>
    <x v="35"/>
    <x v="0"/>
    <n v="1"/>
    <x v="4"/>
    <x v="1"/>
    <x v="1"/>
    <x v="20"/>
    <n v="11500000"/>
  </r>
  <r>
    <s v="ORD1189"/>
    <x v="29"/>
    <x v="2"/>
    <n v="1"/>
    <x v="3"/>
    <x v="1"/>
    <x v="0"/>
    <x v="33"/>
    <n v="43500000"/>
  </r>
  <r>
    <s v="ORD1190"/>
    <x v="22"/>
    <x v="0"/>
    <n v="1"/>
    <x v="3"/>
    <x v="1"/>
    <x v="0"/>
    <x v="71"/>
    <n v="38000000"/>
  </r>
  <r>
    <s v="ORD1191"/>
    <x v="52"/>
    <x v="1"/>
    <n v="1"/>
    <x v="3"/>
    <x v="1"/>
    <x v="0"/>
    <x v="0"/>
    <n v="12500000"/>
  </r>
  <r>
    <s v="ORD1192"/>
    <x v="28"/>
    <x v="0"/>
    <n v="1"/>
    <x v="1"/>
    <x v="1"/>
    <x v="1"/>
    <x v="80"/>
    <n v="21500000"/>
  </r>
  <r>
    <s v="ORD1193"/>
    <x v="24"/>
    <x v="0"/>
    <n v="1"/>
    <x v="3"/>
    <x v="0"/>
    <x v="0"/>
    <x v="40"/>
    <n v="30100000"/>
  </r>
  <r>
    <s v="ORD1194"/>
    <x v="7"/>
    <x v="0"/>
    <n v="1"/>
    <x v="1"/>
    <x v="1"/>
    <x v="1"/>
    <x v="72"/>
    <n v="10000000"/>
  </r>
  <r>
    <s v="ORD1195"/>
    <x v="35"/>
    <x v="0"/>
    <n v="1"/>
    <x v="2"/>
    <x v="2"/>
    <x v="1"/>
    <x v="29"/>
    <n v="13350000"/>
  </r>
  <r>
    <s v="ORD1196"/>
    <x v="2"/>
    <x v="0"/>
    <n v="1"/>
    <x v="2"/>
    <x v="0"/>
    <x v="0"/>
    <x v="58"/>
    <n v="29750000"/>
  </r>
  <r>
    <s v="ORD1197"/>
    <x v="50"/>
    <x v="1"/>
    <n v="1"/>
    <x v="4"/>
    <x v="1"/>
    <x v="1"/>
    <x v="42"/>
    <n v="48500000"/>
  </r>
  <r>
    <s v="ORD1198"/>
    <x v="55"/>
    <x v="0"/>
    <n v="1"/>
    <x v="4"/>
    <x v="1"/>
    <x v="0"/>
    <x v="75"/>
    <n v="28000000"/>
  </r>
  <r>
    <s v="ORD1199"/>
    <x v="41"/>
    <x v="0"/>
    <n v="1"/>
    <x v="3"/>
    <x v="1"/>
    <x v="0"/>
    <x v="19"/>
    <n v="15500000"/>
  </r>
  <r>
    <s v="ORD1200"/>
    <x v="16"/>
    <x v="0"/>
    <n v="1"/>
    <x v="2"/>
    <x v="0"/>
    <x v="1"/>
    <x v="20"/>
    <n v="8050000"/>
  </r>
  <r>
    <s v="ORD1201"/>
    <x v="47"/>
    <x v="0"/>
    <n v="1"/>
    <x v="2"/>
    <x v="2"/>
    <x v="1"/>
    <x v="49"/>
    <n v="11700000"/>
  </r>
  <r>
    <s v="ORD1202"/>
    <x v="1"/>
    <x v="1"/>
    <n v="1"/>
    <x v="3"/>
    <x v="2"/>
    <x v="0"/>
    <x v="44"/>
    <n v="12600000"/>
  </r>
  <r>
    <s v="ORD1203"/>
    <x v="16"/>
    <x v="0"/>
    <n v="1"/>
    <x v="4"/>
    <x v="0"/>
    <x v="1"/>
    <x v="81"/>
    <n v="25550000"/>
  </r>
  <r>
    <s v="ORD1204"/>
    <x v="56"/>
    <x v="0"/>
    <n v="1"/>
    <x v="4"/>
    <x v="1"/>
    <x v="0"/>
    <x v="52"/>
    <n v="10500000"/>
  </r>
  <r>
    <s v="ORD1205"/>
    <x v="5"/>
    <x v="1"/>
    <n v="1"/>
    <x v="2"/>
    <x v="2"/>
    <x v="1"/>
    <x v="61"/>
    <n v="5400000"/>
  </r>
  <r>
    <s v="ORD1206"/>
    <x v="36"/>
    <x v="1"/>
    <n v="1"/>
    <x v="4"/>
    <x v="0"/>
    <x v="1"/>
    <x v="32"/>
    <n v="4200000"/>
  </r>
  <r>
    <s v="ORD1207"/>
    <x v="1"/>
    <x v="1"/>
    <n v="1"/>
    <x v="4"/>
    <x v="0"/>
    <x v="1"/>
    <x v="79"/>
    <n v="5250000"/>
  </r>
  <r>
    <s v="ORD1208"/>
    <x v="9"/>
    <x v="1"/>
    <n v="1"/>
    <x v="3"/>
    <x v="0"/>
    <x v="0"/>
    <x v="10"/>
    <n v="8400000"/>
  </r>
  <r>
    <s v="ORD1209"/>
    <x v="5"/>
    <x v="1"/>
    <n v="1"/>
    <x v="1"/>
    <x v="2"/>
    <x v="0"/>
    <x v="64"/>
    <n v="7950000"/>
  </r>
  <r>
    <s v="ORD1210"/>
    <x v="12"/>
    <x v="1"/>
    <n v="1"/>
    <x v="3"/>
    <x v="2"/>
    <x v="0"/>
    <x v="8"/>
    <n v="6300000"/>
  </r>
  <r>
    <s v="ORD1211"/>
    <x v="9"/>
    <x v="1"/>
    <n v="1"/>
    <x v="4"/>
    <x v="0"/>
    <x v="1"/>
    <x v="78"/>
    <n v="33250000"/>
  </r>
  <r>
    <s v="ORD1212"/>
    <x v="38"/>
    <x v="0"/>
    <n v="1"/>
    <x v="3"/>
    <x v="0"/>
    <x v="1"/>
    <x v="48"/>
    <n v="22400000"/>
  </r>
  <r>
    <s v="ORD1213"/>
    <x v="57"/>
    <x v="1"/>
    <n v="1"/>
    <x v="3"/>
    <x v="2"/>
    <x v="1"/>
    <x v="70"/>
    <n v="10200000"/>
  </r>
  <r>
    <s v="ORD1214"/>
    <x v="22"/>
    <x v="0"/>
    <n v="1"/>
    <x v="2"/>
    <x v="2"/>
    <x v="0"/>
    <x v="68"/>
    <n v="4950000"/>
  </r>
  <r>
    <s v="ORD1215"/>
    <x v="16"/>
    <x v="0"/>
    <n v="1"/>
    <x v="1"/>
    <x v="1"/>
    <x v="0"/>
    <x v="23"/>
    <n v="37500000"/>
  </r>
  <r>
    <s v="ORD1216"/>
    <x v="23"/>
    <x v="1"/>
    <n v="1"/>
    <x v="4"/>
    <x v="1"/>
    <x v="0"/>
    <x v="82"/>
    <n v="5000000"/>
  </r>
  <r>
    <s v="ORD1217"/>
    <x v="12"/>
    <x v="1"/>
    <n v="1"/>
    <x v="4"/>
    <x v="2"/>
    <x v="1"/>
    <x v="21"/>
    <n v="13950000"/>
  </r>
  <r>
    <s v="ORD1218"/>
    <x v="57"/>
    <x v="1"/>
    <n v="1"/>
    <x v="0"/>
    <x v="2"/>
    <x v="0"/>
    <x v="29"/>
    <n v="13350000"/>
  </r>
  <r>
    <s v="ORD1219"/>
    <x v="5"/>
    <x v="1"/>
    <n v="1"/>
    <x v="4"/>
    <x v="1"/>
    <x v="0"/>
    <x v="46"/>
    <n v="13500000"/>
  </r>
  <r>
    <s v="ORD1220"/>
    <x v="54"/>
    <x v="0"/>
    <n v="1"/>
    <x v="2"/>
    <x v="1"/>
    <x v="0"/>
    <x v="37"/>
    <n v="27500000"/>
  </r>
  <r>
    <s v="ORD1221"/>
    <x v="58"/>
    <x v="1"/>
    <n v="1"/>
    <x v="1"/>
    <x v="0"/>
    <x v="0"/>
    <x v="46"/>
    <n v="9450000"/>
  </r>
  <r>
    <s v="ORD1222"/>
    <x v="4"/>
    <x v="0"/>
    <n v="1"/>
    <x v="1"/>
    <x v="2"/>
    <x v="1"/>
    <x v="51"/>
    <n v="4800000"/>
  </r>
  <r>
    <s v="ORD1223"/>
    <x v="43"/>
    <x v="0"/>
    <n v="1"/>
    <x v="2"/>
    <x v="1"/>
    <x v="0"/>
    <x v="50"/>
    <n v="29500000"/>
  </r>
  <r>
    <s v="ORD1224"/>
    <x v="55"/>
    <x v="0"/>
    <n v="1"/>
    <x v="3"/>
    <x v="0"/>
    <x v="1"/>
    <x v="23"/>
    <n v="26250000"/>
  </r>
  <r>
    <s v="ORD1225"/>
    <x v="42"/>
    <x v="1"/>
    <n v="1"/>
    <x v="1"/>
    <x v="0"/>
    <x v="0"/>
    <x v="79"/>
    <n v="5250000"/>
  </r>
  <r>
    <s v="ORD1226"/>
    <x v="27"/>
    <x v="1"/>
    <n v="1"/>
    <x v="0"/>
    <x v="0"/>
    <x v="1"/>
    <x v="64"/>
    <n v="18550000"/>
  </r>
  <r>
    <s v="ORD1227"/>
    <x v="38"/>
    <x v="0"/>
    <n v="1"/>
    <x v="3"/>
    <x v="0"/>
    <x v="1"/>
    <x v="23"/>
    <n v="26250000"/>
  </r>
  <r>
    <s v="ORD1228"/>
    <x v="33"/>
    <x v="1"/>
    <n v="1"/>
    <x v="1"/>
    <x v="0"/>
    <x v="0"/>
    <x v="17"/>
    <n v="21000000"/>
  </r>
  <r>
    <s v="ORD1229"/>
    <x v="49"/>
    <x v="1"/>
    <n v="1"/>
    <x v="3"/>
    <x v="2"/>
    <x v="0"/>
    <x v="69"/>
    <n v="10500000"/>
  </r>
  <r>
    <s v="ORD1230"/>
    <x v="35"/>
    <x v="0"/>
    <n v="1"/>
    <x v="2"/>
    <x v="2"/>
    <x v="0"/>
    <x v="83"/>
    <n v="5100000"/>
  </r>
  <r>
    <s v="ORD1231"/>
    <x v="2"/>
    <x v="0"/>
    <n v="1"/>
    <x v="1"/>
    <x v="2"/>
    <x v="0"/>
    <x v="76"/>
    <n v="5250000"/>
  </r>
  <r>
    <s v="ORD1232"/>
    <x v="49"/>
    <x v="1"/>
    <n v="1"/>
    <x v="0"/>
    <x v="2"/>
    <x v="1"/>
    <x v="25"/>
    <n v="15000000"/>
  </r>
  <r>
    <s v="ORD1233"/>
    <x v="51"/>
    <x v="1"/>
    <n v="1"/>
    <x v="3"/>
    <x v="2"/>
    <x v="1"/>
    <x v="22"/>
    <n v="9900000"/>
  </r>
  <r>
    <s v="ORD1234"/>
    <x v="14"/>
    <x v="2"/>
    <n v="1"/>
    <x v="4"/>
    <x v="2"/>
    <x v="0"/>
    <x v="30"/>
    <n v="9450000"/>
  </r>
  <r>
    <s v="ORD1235"/>
    <x v="55"/>
    <x v="0"/>
    <n v="1"/>
    <x v="3"/>
    <x v="2"/>
    <x v="1"/>
    <x v="17"/>
    <n v="9000000"/>
  </r>
  <r>
    <s v="ORD1236"/>
    <x v="29"/>
    <x v="2"/>
    <n v="1"/>
    <x v="3"/>
    <x v="1"/>
    <x v="0"/>
    <x v="74"/>
    <n v="26000000"/>
  </r>
  <r>
    <s v="ORD1237"/>
    <x v="9"/>
    <x v="1"/>
    <n v="1"/>
    <x v="1"/>
    <x v="0"/>
    <x v="0"/>
    <x v="52"/>
    <n v="7350000"/>
  </r>
  <r>
    <s v="ORD1238"/>
    <x v="2"/>
    <x v="0"/>
    <n v="1"/>
    <x v="0"/>
    <x v="1"/>
    <x v="1"/>
    <x v="84"/>
    <n v="33500000"/>
  </r>
  <r>
    <s v="ORD1239"/>
    <x v="50"/>
    <x v="1"/>
    <n v="1"/>
    <x v="4"/>
    <x v="1"/>
    <x v="0"/>
    <x v="9"/>
    <n v="24000000"/>
  </r>
  <r>
    <s v="ORD1240"/>
    <x v="10"/>
    <x v="1"/>
    <n v="1"/>
    <x v="2"/>
    <x v="2"/>
    <x v="0"/>
    <x v="22"/>
    <n v="9900000"/>
  </r>
  <r>
    <s v="ORD1241"/>
    <x v="58"/>
    <x v="1"/>
    <n v="1"/>
    <x v="1"/>
    <x v="1"/>
    <x v="1"/>
    <x v="47"/>
    <n v="29000000"/>
  </r>
  <r>
    <s v="ORD1242"/>
    <x v="22"/>
    <x v="0"/>
    <n v="1"/>
    <x v="4"/>
    <x v="2"/>
    <x v="0"/>
    <x v="25"/>
    <n v="15000000"/>
  </r>
  <r>
    <s v="ORD1243"/>
    <x v="6"/>
    <x v="1"/>
    <n v="1"/>
    <x v="3"/>
    <x v="0"/>
    <x v="1"/>
    <x v="82"/>
    <n v="3500000"/>
  </r>
  <r>
    <s v="ORD1244"/>
    <x v="14"/>
    <x v="2"/>
    <n v="1"/>
    <x v="4"/>
    <x v="1"/>
    <x v="1"/>
    <x v="30"/>
    <n v="31500000"/>
  </r>
  <r>
    <s v="ORD1245"/>
    <x v="0"/>
    <x v="0"/>
    <n v="1"/>
    <x v="0"/>
    <x v="0"/>
    <x v="0"/>
    <x v="72"/>
    <n v="7000000"/>
  </r>
  <r>
    <s v="ORD1246"/>
    <x v="33"/>
    <x v="1"/>
    <n v="1"/>
    <x v="3"/>
    <x v="1"/>
    <x v="1"/>
    <x v="6"/>
    <n v="31000000"/>
  </r>
  <r>
    <s v="ORD1247"/>
    <x v="31"/>
    <x v="1"/>
    <n v="1"/>
    <x v="1"/>
    <x v="0"/>
    <x v="0"/>
    <x v="80"/>
    <n v="15050000"/>
  </r>
  <r>
    <s v="ORD1248"/>
    <x v="4"/>
    <x v="0"/>
    <n v="1"/>
    <x v="1"/>
    <x v="2"/>
    <x v="0"/>
    <x v="69"/>
    <n v="10500000"/>
  </r>
  <r>
    <s v="ORD1249"/>
    <x v="52"/>
    <x v="1"/>
    <n v="1"/>
    <x v="0"/>
    <x v="0"/>
    <x v="1"/>
    <x v="7"/>
    <n v="10150000"/>
  </r>
  <r>
    <s v="ORD1250"/>
    <x v="53"/>
    <x v="0"/>
    <n v="1"/>
    <x v="1"/>
    <x v="0"/>
    <x v="1"/>
    <x v="75"/>
    <n v="19600000"/>
  </r>
  <r>
    <s v="ORD1251"/>
    <x v="8"/>
    <x v="1"/>
    <n v="1"/>
    <x v="3"/>
    <x v="0"/>
    <x v="0"/>
    <x v="5"/>
    <n v="26950000"/>
  </r>
  <r>
    <s v="ORD1252"/>
    <x v="0"/>
    <x v="0"/>
    <n v="1"/>
    <x v="3"/>
    <x v="1"/>
    <x v="1"/>
    <x v="75"/>
    <n v="28000000"/>
  </r>
  <r>
    <s v="ORD1253"/>
    <x v="52"/>
    <x v="1"/>
    <n v="1"/>
    <x v="4"/>
    <x v="2"/>
    <x v="0"/>
    <x v="26"/>
    <n v="6150000"/>
  </r>
  <r>
    <s v="ORD1254"/>
    <x v="18"/>
    <x v="1"/>
    <n v="1"/>
    <x v="3"/>
    <x v="0"/>
    <x v="1"/>
    <x v="42"/>
    <n v="33950000"/>
  </r>
  <r>
    <s v="ORD1255"/>
    <x v="57"/>
    <x v="1"/>
    <n v="1"/>
    <x v="3"/>
    <x v="0"/>
    <x v="0"/>
    <x v="47"/>
    <n v="20300000"/>
  </r>
  <r>
    <s v="ORD1256"/>
    <x v="35"/>
    <x v="0"/>
    <n v="1"/>
    <x v="0"/>
    <x v="0"/>
    <x v="1"/>
    <x v="11"/>
    <n v="17150000"/>
  </r>
  <r>
    <s v="ORD1257"/>
    <x v="21"/>
    <x v="0"/>
    <n v="1"/>
    <x v="1"/>
    <x v="2"/>
    <x v="1"/>
    <x v="85"/>
    <n v="4500000"/>
  </r>
  <r>
    <s v="ORD1258"/>
    <x v="59"/>
    <x v="1"/>
    <n v="1"/>
    <x v="2"/>
    <x v="2"/>
    <x v="0"/>
    <x v="59"/>
    <n v="1650000"/>
  </r>
  <r>
    <s v="ORD1259"/>
    <x v="38"/>
    <x v="0"/>
    <n v="1"/>
    <x v="2"/>
    <x v="1"/>
    <x v="1"/>
    <x v="34"/>
    <n v="6500000"/>
  </r>
  <r>
    <s v="ORD1260"/>
    <x v="21"/>
    <x v="0"/>
    <n v="1"/>
    <x v="4"/>
    <x v="0"/>
    <x v="0"/>
    <x v="17"/>
    <n v="21000000"/>
  </r>
  <r>
    <s v="ORD1261"/>
    <x v="5"/>
    <x v="1"/>
    <n v="1"/>
    <x v="0"/>
    <x v="1"/>
    <x v="1"/>
    <x v="60"/>
    <n v="18500000"/>
  </r>
  <r>
    <s v="ORD1262"/>
    <x v="33"/>
    <x v="1"/>
    <n v="1"/>
    <x v="2"/>
    <x v="2"/>
    <x v="0"/>
    <x v="82"/>
    <n v="1500000"/>
  </r>
  <r>
    <s v="ORD1263"/>
    <x v="57"/>
    <x v="1"/>
    <n v="1"/>
    <x v="2"/>
    <x v="0"/>
    <x v="1"/>
    <x v="3"/>
    <n v="22750000"/>
  </r>
  <r>
    <s v="ORD1264"/>
    <x v="58"/>
    <x v="1"/>
    <n v="1"/>
    <x v="4"/>
    <x v="1"/>
    <x v="1"/>
    <x v="33"/>
    <n v="43500000"/>
  </r>
  <r>
    <s v="ORD1265"/>
    <x v="30"/>
    <x v="1"/>
    <n v="1"/>
    <x v="4"/>
    <x v="0"/>
    <x v="0"/>
    <x v="61"/>
    <n v="12600000"/>
  </r>
  <r>
    <s v="ORD1266"/>
    <x v="13"/>
    <x v="0"/>
    <n v="1"/>
    <x v="2"/>
    <x v="0"/>
    <x v="1"/>
    <x v="38"/>
    <n v="6650000"/>
  </r>
  <r>
    <s v="ORD1267"/>
    <x v="7"/>
    <x v="0"/>
    <n v="1"/>
    <x v="0"/>
    <x v="0"/>
    <x v="0"/>
    <x v="37"/>
    <n v="19250000"/>
  </r>
  <r>
    <s v="ORD1268"/>
    <x v="54"/>
    <x v="0"/>
    <n v="1"/>
    <x v="0"/>
    <x v="0"/>
    <x v="0"/>
    <x v="57"/>
    <n v="28700000"/>
  </r>
  <r>
    <s v="ORD1269"/>
    <x v="3"/>
    <x v="1"/>
    <n v="1"/>
    <x v="2"/>
    <x v="0"/>
    <x v="1"/>
    <x v="50"/>
    <n v="20650000"/>
  </r>
  <r>
    <s v="ORD1270"/>
    <x v="42"/>
    <x v="1"/>
    <n v="1"/>
    <x v="0"/>
    <x v="1"/>
    <x v="0"/>
    <x v="64"/>
    <n v="26500000"/>
  </r>
  <r>
    <s v="ORD1271"/>
    <x v="15"/>
    <x v="0"/>
    <n v="1"/>
    <x v="3"/>
    <x v="1"/>
    <x v="0"/>
    <x v="50"/>
    <n v="29500000"/>
  </r>
  <r>
    <s v="ORD1272"/>
    <x v="38"/>
    <x v="0"/>
    <n v="1"/>
    <x v="2"/>
    <x v="2"/>
    <x v="1"/>
    <x v="15"/>
    <n v="7500000"/>
  </r>
  <r>
    <s v="ORD1273"/>
    <x v="11"/>
    <x v="0"/>
    <n v="1"/>
    <x v="2"/>
    <x v="1"/>
    <x v="0"/>
    <x v="75"/>
    <n v="28000000"/>
  </r>
  <r>
    <s v="ORD1274"/>
    <x v="17"/>
    <x v="0"/>
    <n v="1"/>
    <x v="2"/>
    <x v="2"/>
    <x v="0"/>
    <x v="53"/>
    <n v="8100000"/>
  </r>
  <r>
    <s v="ORD1275"/>
    <x v="46"/>
    <x v="1"/>
    <n v="1"/>
    <x v="3"/>
    <x v="1"/>
    <x v="0"/>
    <x v="64"/>
    <n v="26500000"/>
  </r>
  <r>
    <s v="ORD1276"/>
    <x v="34"/>
    <x v="1"/>
    <n v="1"/>
    <x v="4"/>
    <x v="1"/>
    <x v="1"/>
    <x v="38"/>
    <n v="9500000"/>
  </r>
  <r>
    <s v="ORD1277"/>
    <x v="57"/>
    <x v="1"/>
    <n v="1"/>
    <x v="1"/>
    <x v="1"/>
    <x v="0"/>
    <x v="2"/>
    <n v="49500000"/>
  </r>
  <r>
    <s v="ORD1278"/>
    <x v="45"/>
    <x v="0"/>
    <n v="1"/>
    <x v="4"/>
    <x v="0"/>
    <x v="1"/>
    <x v="38"/>
    <n v="6650000"/>
  </r>
  <r>
    <s v="ORD1279"/>
    <x v="41"/>
    <x v="0"/>
    <n v="1"/>
    <x v="3"/>
    <x v="1"/>
    <x v="0"/>
    <x v="72"/>
    <n v="10000000"/>
  </r>
  <r>
    <s v="ORD1280"/>
    <x v="44"/>
    <x v="0"/>
    <n v="1"/>
    <x v="1"/>
    <x v="1"/>
    <x v="0"/>
    <x v="3"/>
    <n v="32500000"/>
  </r>
  <r>
    <s v="ORD1281"/>
    <x v="29"/>
    <x v="2"/>
    <n v="1"/>
    <x v="3"/>
    <x v="2"/>
    <x v="1"/>
    <x v="78"/>
    <n v="14250000"/>
  </r>
  <r>
    <s v="ORD1282"/>
    <x v="39"/>
    <x v="0"/>
    <n v="1"/>
    <x v="2"/>
    <x v="2"/>
    <x v="1"/>
    <x v="30"/>
    <n v="9450000"/>
  </r>
  <r>
    <s v="ORD1283"/>
    <x v="49"/>
    <x v="1"/>
    <n v="1"/>
    <x v="0"/>
    <x v="1"/>
    <x v="0"/>
    <x v="30"/>
    <n v="31500000"/>
  </r>
  <r>
    <s v="ORD1284"/>
    <x v="3"/>
    <x v="1"/>
    <n v="1"/>
    <x v="0"/>
    <x v="0"/>
    <x v="0"/>
    <x v="42"/>
    <n v="33950000"/>
  </r>
  <r>
    <s v="ORD1285"/>
    <x v="29"/>
    <x v="2"/>
    <n v="1"/>
    <x v="4"/>
    <x v="2"/>
    <x v="0"/>
    <x v="28"/>
    <n v="13500000"/>
  </r>
  <r>
    <s v="ORD1286"/>
    <x v="2"/>
    <x v="0"/>
    <n v="1"/>
    <x v="0"/>
    <x v="2"/>
    <x v="1"/>
    <x v="57"/>
    <n v="12300000"/>
  </r>
  <r>
    <s v="ORD1287"/>
    <x v="25"/>
    <x v="1"/>
    <n v="1"/>
    <x v="0"/>
    <x v="1"/>
    <x v="1"/>
    <x v="51"/>
    <n v="16000000"/>
  </r>
  <r>
    <s v="ORD1288"/>
    <x v="29"/>
    <x v="2"/>
    <n v="1"/>
    <x v="2"/>
    <x v="2"/>
    <x v="0"/>
    <x v="7"/>
    <n v="4350000"/>
  </r>
  <r>
    <s v="ORD1289"/>
    <x v="38"/>
    <x v="0"/>
    <n v="1"/>
    <x v="4"/>
    <x v="2"/>
    <x v="1"/>
    <x v="62"/>
    <n v="12150000"/>
  </r>
  <r>
    <s v="ORD1290"/>
    <x v="48"/>
    <x v="0"/>
    <n v="1"/>
    <x v="3"/>
    <x v="0"/>
    <x v="1"/>
    <x v="10"/>
    <n v="8400000"/>
  </r>
  <r>
    <s v="ORD1291"/>
    <x v="13"/>
    <x v="0"/>
    <n v="1"/>
    <x v="4"/>
    <x v="2"/>
    <x v="1"/>
    <x v="43"/>
    <n v="4200000"/>
  </r>
  <r>
    <s v="ORD1292"/>
    <x v="39"/>
    <x v="0"/>
    <n v="1"/>
    <x v="1"/>
    <x v="2"/>
    <x v="1"/>
    <x v="40"/>
    <n v="12900000"/>
  </r>
  <r>
    <s v="ORD1293"/>
    <x v="29"/>
    <x v="2"/>
    <n v="1"/>
    <x v="1"/>
    <x v="1"/>
    <x v="1"/>
    <x v="48"/>
    <n v="32000000"/>
  </r>
  <r>
    <s v="ORD1294"/>
    <x v="37"/>
    <x v="0"/>
    <n v="1"/>
    <x v="4"/>
    <x v="1"/>
    <x v="1"/>
    <x v="58"/>
    <n v="42500000"/>
  </r>
  <r>
    <s v="ORD1295"/>
    <x v="9"/>
    <x v="1"/>
    <n v="1"/>
    <x v="3"/>
    <x v="0"/>
    <x v="1"/>
    <x v="51"/>
    <n v="11200000"/>
  </r>
  <r>
    <s v="ORD1296"/>
    <x v="59"/>
    <x v="1"/>
    <n v="1"/>
    <x v="3"/>
    <x v="2"/>
    <x v="1"/>
    <x v="14"/>
    <n v="11850000"/>
  </r>
  <r>
    <s v="ORD1297"/>
    <x v="27"/>
    <x v="1"/>
    <n v="1"/>
    <x v="2"/>
    <x v="0"/>
    <x v="1"/>
    <x v="84"/>
    <n v="23450000"/>
  </r>
  <r>
    <s v="ORD1298"/>
    <x v="4"/>
    <x v="0"/>
    <n v="1"/>
    <x v="0"/>
    <x v="2"/>
    <x v="0"/>
    <x v="50"/>
    <n v="8850000"/>
  </r>
  <r>
    <s v="ORD1299"/>
    <x v="8"/>
    <x v="1"/>
    <n v="1"/>
    <x v="1"/>
    <x v="0"/>
    <x v="0"/>
    <x v="50"/>
    <n v="20650000"/>
  </r>
  <r>
    <s v="ORD1300"/>
    <x v="45"/>
    <x v="0"/>
    <n v="1"/>
    <x v="1"/>
    <x v="2"/>
    <x v="1"/>
    <x v="35"/>
    <n v="10650000"/>
  </r>
  <r>
    <s v="ORD1301"/>
    <x v="5"/>
    <x v="1"/>
    <n v="1"/>
    <x v="1"/>
    <x v="0"/>
    <x v="1"/>
    <x v="11"/>
    <n v="17150000"/>
  </r>
  <r>
    <s v="ORD1302"/>
    <x v="59"/>
    <x v="1"/>
    <n v="1"/>
    <x v="4"/>
    <x v="0"/>
    <x v="1"/>
    <x v="86"/>
    <n v="29050000"/>
  </r>
  <r>
    <s v="ORD1303"/>
    <x v="45"/>
    <x v="0"/>
    <n v="1"/>
    <x v="3"/>
    <x v="1"/>
    <x v="1"/>
    <x v="10"/>
    <n v="12000000"/>
  </r>
  <r>
    <s v="ORD1304"/>
    <x v="24"/>
    <x v="0"/>
    <n v="1"/>
    <x v="4"/>
    <x v="2"/>
    <x v="0"/>
    <x v="1"/>
    <n v="2550000"/>
  </r>
  <r>
    <s v="ORD1305"/>
    <x v="36"/>
    <x v="1"/>
    <n v="1"/>
    <x v="0"/>
    <x v="2"/>
    <x v="1"/>
    <x v="48"/>
    <n v="9600000"/>
  </r>
  <r>
    <s v="ORD1306"/>
    <x v="31"/>
    <x v="1"/>
    <n v="1"/>
    <x v="0"/>
    <x v="0"/>
    <x v="1"/>
    <x v="67"/>
    <n v="16450000"/>
  </r>
  <r>
    <s v="ORD1307"/>
    <x v="28"/>
    <x v="0"/>
    <n v="1"/>
    <x v="0"/>
    <x v="2"/>
    <x v="1"/>
    <x v="57"/>
    <n v="12300000"/>
  </r>
  <r>
    <s v="ORD1308"/>
    <x v="44"/>
    <x v="0"/>
    <n v="1"/>
    <x v="1"/>
    <x v="1"/>
    <x v="1"/>
    <x v="79"/>
    <n v="7500000"/>
  </r>
  <r>
    <s v="ORD1309"/>
    <x v="26"/>
    <x v="1"/>
    <n v="1"/>
    <x v="3"/>
    <x v="1"/>
    <x v="0"/>
    <x v="79"/>
    <n v="7500000"/>
  </r>
  <r>
    <s v="ORD1310"/>
    <x v="57"/>
    <x v="1"/>
    <n v="1"/>
    <x v="3"/>
    <x v="2"/>
    <x v="0"/>
    <x v="77"/>
    <n v="6900000"/>
  </r>
  <r>
    <s v="ORD1311"/>
    <x v="46"/>
    <x v="1"/>
    <n v="1"/>
    <x v="0"/>
    <x v="1"/>
    <x v="0"/>
    <x v="65"/>
    <n v="40000000"/>
  </r>
  <r>
    <s v="ORD1312"/>
    <x v="59"/>
    <x v="1"/>
    <n v="1"/>
    <x v="1"/>
    <x v="2"/>
    <x v="0"/>
    <x v="80"/>
    <n v="6450000"/>
  </r>
  <r>
    <s v="ORD1313"/>
    <x v="58"/>
    <x v="1"/>
    <n v="1"/>
    <x v="0"/>
    <x v="2"/>
    <x v="1"/>
    <x v="20"/>
    <n v="3450000"/>
  </r>
  <r>
    <s v="ORD1314"/>
    <x v="10"/>
    <x v="1"/>
    <n v="1"/>
    <x v="0"/>
    <x v="0"/>
    <x v="0"/>
    <x v="68"/>
    <n v="11550000"/>
  </r>
  <r>
    <s v="ORD1315"/>
    <x v="15"/>
    <x v="0"/>
    <n v="1"/>
    <x v="1"/>
    <x v="1"/>
    <x v="1"/>
    <x v="0"/>
    <n v="12500000"/>
  </r>
  <r>
    <s v="ORD1316"/>
    <x v="47"/>
    <x v="0"/>
    <n v="1"/>
    <x v="3"/>
    <x v="2"/>
    <x v="0"/>
    <x v="14"/>
    <n v="11850000"/>
  </r>
  <r>
    <s v="ORD1317"/>
    <x v="49"/>
    <x v="1"/>
    <n v="1"/>
    <x v="1"/>
    <x v="1"/>
    <x v="0"/>
    <x v="76"/>
    <n v="17500000"/>
  </r>
  <r>
    <s v="ORD1318"/>
    <x v="52"/>
    <x v="1"/>
    <n v="1"/>
    <x v="1"/>
    <x v="0"/>
    <x v="0"/>
    <x v="36"/>
    <n v="34300000"/>
  </r>
  <r>
    <s v="ORD1319"/>
    <x v="14"/>
    <x v="2"/>
    <n v="1"/>
    <x v="0"/>
    <x v="0"/>
    <x v="0"/>
    <x v="27"/>
    <n v="13300000"/>
  </r>
  <r>
    <s v="ORD1320"/>
    <x v="41"/>
    <x v="0"/>
    <n v="1"/>
    <x v="3"/>
    <x v="2"/>
    <x v="0"/>
    <x v="10"/>
    <n v="3600000"/>
  </r>
  <r>
    <s v="ORD1321"/>
    <x v="2"/>
    <x v="0"/>
    <n v="1"/>
    <x v="2"/>
    <x v="1"/>
    <x v="0"/>
    <x v="34"/>
    <n v="6500000"/>
  </r>
  <r>
    <s v="ORD1322"/>
    <x v="52"/>
    <x v="1"/>
    <n v="1"/>
    <x v="1"/>
    <x v="1"/>
    <x v="1"/>
    <x v="75"/>
    <n v="28000000"/>
  </r>
  <r>
    <s v="ORD1323"/>
    <x v="12"/>
    <x v="1"/>
    <n v="1"/>
    <x v="3"/>
    <x v="1"/>
    <x v="1"/>
    <x v="76"/>
    <n v="17500000"/>
  </r>
  <r>
    <s v="ORD1324"/>
    <x v="60"/>
    <x v="0"/>
    <n v="1"/>
    <x v="4"/>
    <x v="2"/>
    <x v="1"/>
    <x v="81"/>
    <n v="10950000"/>
  </r>
  <r>
    <s v="ORD1325"/>
    <x v="10"/>
    <x v="1"/>
    <n v="1"/>
    <x v="4"/>
    <x v="0"/>
    <x v="1"/>
    <x v="32"/>
    <n v="4200000"/>
  </r>
  <r>
    <s v="ORD1326"/>
    <x v="47"/>
    <x v="0"/>
    <n v="1"/>
    <x v="0"/>
    <x v="1"/>
    <x v="0"/>
    <x v="54"/>
    <n v="9000000"/>
  </r>
  <r>
    <s v="ORD1327"/>
    <x v="34"/>
    <x v="1"/>
    <n v="1"/>
    <x v="1"/>
    <x v="1"/>
    <x v="1"/>
    <x v="69"/>
    <n v="35000000"/>
  </r>
  <r>
    <s v="ORD1328"/>
    <x v="12"/>
    <x v="1"/>
    <n v="1"/>
    <x v="4"/>
    <x v="2"/>
    <x v="0"/>
    <x v="47"/>
    <n v="8700000"/>
  </r>
  <r>
    <s v="ORD1329"/>
    <x v="0"/>
    <x v="0"/>
    <n v="1"/>
    <x v="2"/>
    <x v="2"/>
    <x v="0"/>
    <x v="76"/>
    <n v="5250000"/>
  </r>
  <r>
    <s v="ORD1330"/>
    <x v="8"/>
    <x v="1"/>
    <n v="1"/>
    <x v="4"/>
    <x v="2"/>
    <x v="1"/>
    <x v="9"/>
    <n v="7200000"/>
  </r>
  <r>
    <s v="ORD1331"/>
    <x v="3"/>
    <x v="1"/>
    <n v="1"/>
    <x v="3"/>
    <x v="2"/>
    <x v="0"/>
    <x v="82"/>
    <n v="1500000"/>
  </r>
  <r>
    <s v="ORD1332"/>
    <x v="52"/>
    <x v="1"/>
    <n v="1"/>
    <x v="2"/>
    <x v="2"/>
    <x v="1"/>
    <x v="60"/>
    <n v="5550000"/>
  </r>
  <r>
    <s v="ORD1333"/>
    <x v="40"/>
    <x v="0"/>
    <n v="1"/>
    <x v="1"/>
    <x v="0"/>
    <x v="0"/>
    <x v="25"/>
    <n v="35000000"/>
  </r>
  <r>
    <s v="ORD1334"/>
    <x v="41"/>
    <x v="0"/>
    <n v="1"/>
    <x v="0"/>
    <x v="0"/>
    <x v="1"/>
    <x v="42"/>
    <n v="33950000"/>
  </r>
  <r>
    <s v="ORD1335"/>
    <x v="32"/>
    <x v="0"/>
    <n v="1"/>
    <x v="4"/>
    <x v="0"/>
    <x v="1"/>
    <x v="19"/>
    <n v="10850000"/>
  </r>
  <r>
    <s v="ORD1336"/>
    <x v="13"/>
    <x v="0"/>
    <n v="1"/>
    <x v="0"/>
    <x v="1"/>
    <x v="0"/>
    <x v="67"/>
    <n v="23500000"/>
  </r>
  <r>
    <s v="ORD1337"/>
    <x v="51"/>
    <x v="1"/>
    <n v="1"/>
    <x v="2"/>
    <x v="1"/>
    <x v="1"/>
    <x v="23"/>
    <n v="37500000"/>
  </r>
  <r>
    <s v="ORD1338"/>
    <x v="47"/>
    <x v="0"/>
    <n v="1"/>
    <x v="0"/>
    <x v="0"/>
    <x v="1"/>
    <x v="78"/>
    <n v="33250000"/>
  </r>
  <r>
    <s v="ORD1339"/>
    <x v="15"/>
    <x v="0"/>
    <n v="1"/>
    <x v="1"/>
    <x v="0"/>
    <x v="0"/>
    <x v="54"/>
    <n v="6300000"/>
  </r>
  <r>
    <s v="ORD1340"/>
    <x v="41"/>
    <x v="0"/>
    <n v="1"/>
    <x v="4"/>
    <x v="2"/>
    <x v="0"/>
    <x v="67"/>
    <n v="7050000"/>
  </r>
  <r>
    <s v="ORD1341"/>
    <x v="10"/>
    <x v="1"/>
    <n v="1"/>
    <x v="1"/>
    <x v="0"/>
    <x v="1"/>
    <x v="87"/>
    <n v="19950000"/>
  </r>
  <r>
    <s v="ORD1342"/>
    <x v="43"/>
    <x v="0"/>
    <n v="1"/>
    <x v="3"/>
    <x v="1"/>
    <x v="1"/>
    <x v="11"/>
    <n v="24500000"/>
  </r>
  <r>
    <s v="ORD1343"/>
    <x v="36"/>
    <x v="1"/>
    <n v="1"/>
    <x v="4"/>
    <x v="0"/>
    <x v="0"/>
    <x v="34"/>
    <n v="4550000"/>
  </r>
  <r>
    <s v="ORD1344"/>
    <x v="43"/>
    <x v="0"/>
    <n v="1"/>
    <x v="0"/>
    <x v="1"/>
    <x v="0"/>
    <x v="36"/>
    <n v="49000000"/>
  </r>
  <r>
    <s v="ORD1345"/>
    <x v="41"/>
    <x v="0"/>
    <n v="1"/>
    <x v="3"/>
    <x v="1"/>
    <x v="0"/>
    <x v="6"/>
    <n v="31000000"/>
  </r>
  <r>
    <s v="ORD1346"/>
    <x v="47"/>
    <x v="0"/>
    <n v="1"/>
    <x v="2"/>
    <x v="1"/>
    <x v="0"/>
    <x v="88"/>
    <n v="36000000"/>
  </r>
  <r>
    <s v="ORD1347"/>
    <x v="51"/>
    <x v="1"/>
    <n v="1"/>
    <x v="0"/>
    <x v="0"/>
    <x v="1"/>
    <x v="23"/>
    <n v="26250000"/>
  </r>
  <r>
    <s v="ORD1348"/>
    <x v="32"/>
    <x v="0"/>
    <n v="1"/>
    <x v="3"/>
    <x v="0"/>
    <x v="0"/>
    <x v="11"/>
    <n v="17150000"/>
  </r>
  <r>
    <s v="ORD1349"/>
    <x v="60"/>
    <x v="0"/>
    <n v="1"/>
    <x v="2"/>
    <x v="0"/>
    <x v="0"/>
    <x v="11"/>
    <n v="17150000"/>
  </r>
  <r>
    <s v="ORD1350"/>
    <x v="12"/>
    <x v="1"/>
    <n v="1"/>
    <x v="0"/>
    <x v="1"/>
    <x v="1"/>
    <x v="47"/>
    <n v="29000000"/>
  </r>
  <r>
    <s v="ORD1351"/>
    <x v="2"/>
    <x v="0"/>
    <n v="1"/>
    <x v="4"/>
    <x v="2"/>
    <x v="0"/>
    <x v="7"/>
    <n v="4350000"/>
  </r>
  <r>
    <s v="ORD1352"/>
    <x v="9"/>
    <x v="1"/>
    <n v="1"/>
    <x v="3"/>
    <x v="0"/>
    <x v="1"/>
    <x v="60"/>
    <n v="12950000"/>
  </r>
  <r>
    <s v="ORD1353"/>
    <x v="0"/>
    <x v="0"/>
    <n v="1"/>
    <x v="3"/>
    <x v="1"/>
    <x v="0"/>
    <x v="64"/>
    <n v="26500000"/>
  </r>
  <r>
    <s v="ORD1354"/>
    <x v="9"/>
    <x v="1"/>
    <n v="1"/>
    <x v="0"/>
    <x v="0"/>
    <x v="1"/>
    <x v="43"/>
    <n v="9800000"/>
  </r>
  <r>
    <s v="ORD1355"/>
    <x v="24"/>
    <x v="0"/>
    <n v="1"/>
    <x v="1"/>
    <x v="1"/>
    <x v="1"/>
    <x v="46"/>
    <n v="13500000"/>
  </r>
  <r>
    <s v="ORD1356"/>
    <x v="17"/>
    <x v="0"/>
    <n v="1"/>
    <x v="2"/>
    <x v="1"/>
    <x v="0"/>
    <x v="8"/>
    <n v="21000000"/>
  </r>
  <r>
    <s v="ORD1357"/>
    <x v="39"/>
    <x v="0"/>
    <n v="1"/>
    <x v="2"/>
    <x v="1"/>
    <x v="1"/>
    <x v="28"/>
    <n v="45000000"/>
  </r>
  <r>
    <s v="ORD1358"/>
    <x v="1"/>
    <x v="1"/>
    <n v="1"/>
    <x v="4"/>
    <x v="1"/>
    <x v="0"/>
    <x v="19"/>
    <n v="15500000"/>
  </r>
  <r>
    <s v="ORD1359"/>
    <x v="0"/>
    <x v="0"/>
    <n v="1"/>
    <x v="4"/>
    <x v="2"/>
    <x v="1"/>
    <x v="75"/>
    <n v="8400000"/>
  </r>
  <r>
    <s v="ORD1360"/>
    <x v="57"/>
    <x v="1"/>
    <n v="1"/>
    <x v="1"/>
    <x v="1"/>
    <x v="0"/>
    <x v="67"/>
    <n v="23500000"/>
  </r>
  <r>
    <s v="ORD1361"/>
    <x v="7"/>
    <x v="0"/>
    <n v="1"/>
    <x v="0"/>
    <x v="0"/>
    <x v="1"/>
    <x v="53"/>
    <n v="18900000"/>
  </r>
  <r>
    <s v="ORD1362"/>
    <x v="8"/>
    <x v="1"/>
    <n v="1"/>
    <x v="3"/>
    <x v="1"/>
    <x v="0"/>
    <x v="57"/>
    <n v="41000000"/>
  </r>
  <r>
    <s v="ORD1363"/>
    <x v="60"/>
    <x v="0"/>
    <n v="1"/>
    <x v="0"/>
    <x v="2"/>
    <x v="0"/>
    <x v="22"/>
    <n v="9900000"/>
  </r>
  <r>
    <s v="ORD1364"/>
    <x v="54"/>
    <x v="0"/>
    <n v="1"/>
    <x v="2"/>
    <x v="2"/>
    <x v="0"/>
    <x v="72"/>
    <n v="3000000"/>
  </r>
  <r>
    <s v="ORD1365"/>
    <x v="1"/>
    <x v="1"/>
    <n v="1"/>
    <x v="4"/>
    <x v="0"/>
    <x v="1"/>
    <x v="74"/>
    <n v="18200000"/>
  </r>
  <r>
    <s v="ORD1366"/>
    <x v="44"/>
    <x v="0"/>
    <n v="1"/>
    <x v="1"/>
    <x v="2"/>
    <x v="1"/>
    <x v="20"/>
    <n v="3450000"/>
  </r>
  <r>
    <s v="ORD1367"/>
    <x v="57"/>
    <x v="1"/>
    <n v="1"/>
    <x v="3"/>
    <x v="0"/>
    <x v="0"/>
    <x v="67"/>
    <n v="16450000"/>
  </r>
  <r>
    <s v="ORD1368"/>
    <x v="16"/>
    <x v="0"/>
    <n v="1"/>
    <x v="3"/>
    <x v="0"/>
    <x v="1"/>
    <x v="26"/>
    <n v="14350000"/>
  </r>
  <r>
    <s v="ORD1369"/>
    <x v="46"/>
    <x v="1"/>
    <n v="1"/>
    <x v="2"/>
    <x v="1"/>
    <x v="0"/>
    <x v="47"/>
    <n v="29000000"/>
  </r>
  <r>
    <s v="ORD1370"/>
    <x v="31"/>
    <x v="1"/>
    <n v="1"/>
    <x v="3"/>
    <x v="2"/>
    <x v="1"/>
    <x v="62"/>
    <n v="12150000"/>
  </r>
  <r>
    <s v="ORD1371"/>
    <x v="51"/>
    <x v="1"/>
    <n v="1"/>
    <x v="4"/>
    <x v="0"/>
    <x v="1"/>
    <x v="59"/>
    <n v="3850000"/>
  </r>
  <r>
    <s v="ORD1372"/>
    <x v="47"/>
    <x v="0"/>
    <n v="1"/>
    <x v="2"/>
    <x v="0"/>
    <x v="0"/>
    <x v="23"/>
    <n v="26250000"/>
  </r>
  <r>
    <s v="ORD1373"/>
    <x v="48"/>
    <x v="0"/>
    <n v="1"/>
    <x v="4"/>
    <x v="2"/>
    <x v="0"/>
    <x v="15"/>
    <n v="7500000"/>
  </r>
  <r>
    <s v="ORD1374"/>
    <x v="35"/>
    <x v="0"/>
    <n v="1"/>
    <x v="3"/>
    <x v="1"/>
    <x v="0"/>
    <x v="68"/>
    <n v="16500000"/>
  </r>
  <r>
    <s v="ORD1375"/>
    <x v="39"/>
    <x v="0"/>
    <n v="1"/>
    <x v="2"/>
    <x v="2"/>
    <x v="0"/>
    <x v="78"/>
    <n v="14250000"/>
  </r>
  <r>
    <s v="ORD1376"/>
    <x v="29"/>
    <x v="2"/>
    <n v="1"/>
    <x v="4"/>
    <x v="0"/>
    <x v="1"/>
    <x v="28"/>
    <n v="31500000"/>
  </r>
  <r>
    <s v="ORD1377"/>
    <x v="8"/>
    <x v="1"/>
    <n v="1"/>
    <x v="2"/>
    <x v="0"/>
    <x v="0"/>
    <x v="45"/>
    <n v="4900000"/>
  </r>
  <r>
    <s v="ORD1378"/>
    <x v="59"/>
    <x v="1"/>
    <n v="1"/>
    <x v="3"/>
    <x v="2"/>
    <x v="1"/>
    <x v="36"/>
    <n v="14700000"/>
  </r>
  <r>
    <s v="ORD1379"/>
    <x v="37"/>
    <x v="0"/>
    <n v="1"/>
    <x v="0"/>
    <x v="2"/>
    <x v="1"/>
    <x v="55"/>
    <n v="13650000"/>
  </r>
  <r>
    <s v="ORD1380"/>
    <x v="26"/>
    <x v="1"/>
    <n v="1"/>
    <x v="1"/>
    <x v="2"/>
    <x v="0"/>
    <x v="79"/>
    <n v="2250000"/>
  </r>
  <r>
    <s v="ORD1381"/>
    <x v="21"/>
    <x v="0"/>
    <n v="1"/>
    <x v="3"/>
    <x v="1"/>
    <x v="1"/>
    <x v="54"/>
    <n v="9000000"/>
  </r>
  <r>
    <s v="ORD1382"/>
    <x v="59"/>
    <x v="1"/>
    <n v="1"/>
    <x v="0"/>
    <x v="1"/>
    <x v="0"/>
    <x v="47"/>
    <n v="29000000"/>
  </r>
  <r>
    <s v="ORD1383"/>
    <x v="7"/>
    <x v="0"/>
    <n v="1"/>
    <x v="3"/>
    <x v="2"/>
    <x v="1"/>
    <x v="8"/>
    <n v="6300000"/>
  </r>
  <r>
    <s v="ORD1384"/>
    <x v="16"/>
    <x v="0"/>
    <n v="1"/>
    <x v="3"/>
    <x v="0"/>
    <x v="1"/>
    <x v="46"/>
    <n v="9450000"/>
  </r>
  <r>
    <s v="ORD1385"/>
    <x v="36"/>
    <x v="1"/>
    <n v="1"/>
    <x v="0"/>
    <x v="2"/>
    <x v="0"/>
    <x v="47"/>
    <n v="8700000"/>
  </r>
  <r>
    <s v="ORD1386"/>
    <x v="17"/>
    <x v="0"/>
    <n v="1"/>
    <x v="3"/>
    <x v="2"/>
    <x v="0"/>
    <x v="0"/>
    <n v="3750000"/>
  </r>
  <r>
    <s v="ORD1387"/>
    <x v="10"/>
    <x v="1"/>
    <n v="1"/>
    <x v="1"/>
    <x v="2"/>
    <x v="1"/>
    <x v="29"/>
    <n v="13350000"/>
  </r>
  <r>
    <s v="ORD1388"/>
    <x v="5"/>
    <x v="1"/>
    <n v="1"/>
    <x v="4"/>
    <x v="2"/>
    <x v="1"/>
    <x v="41"/>
    <n v="9150000"/>
  </r>
  <r>
    <s v="ORD1389"/>
    <x v="38"/>
    <x v="0"/>
    <n v="1"/>
    <x v="1"/>
    <x v="0"/>
    <x v="0"/>
    <x v="42"/>
    <n v="33950000"/>
  </r>
  <r>
    <s v="ORD1390"/>
    <x v="49"/>
    <x v="1"/>
    <n v="1"/>
    <x v="4"/>
    <x v="1"/>
    <x v="0"/>
    <x v="20"/>
    <n v="11500000"/>
  </r>
  <r>
    <s v="ORD1391"/>
    <x v="4"/>
    <x v="0"/>
    <n v="1"/>
    <x v="4"/>
    <x v="2"/>
    <x v="0"/>
    <x v="51"/>
    <n v="4800000"/>
  </r>
  <r>
    <s v="ORD1392"/>
    <x v="27"/>
    <x v="1"/>
    <n v="1"/>
    <x v="1"/>
    <x v="2"/>
    <x v="1"/>
    <x v="20"/>
    <n v="3450000"/>
  </r>
  <r>
    <s v="ORD1393"/>
    <x v="8"/>
    <x v="1"/>
    <n v="1"/>
    <x v="0"/>
    <x v="1"/>
    <x v="1"/>
    <x v="2"/>
    <n v="49500000"/>
  </r>
  <r>
    <s v="ORD1394"/>
    <x v="47"/>
    <x v="0"/>
    <n v="1"/>
    <x v="3"/>
    <x v="2"/>
    <x v="1"/>
    <x v="46"/>
    <n v="4050000"/>
  </r>
  <r>
    <s v="ORD1395"/>
    <x v="60"/>
    <x v="0"/>
    <n v="1"/>
    <x v="0"/>
    <x v="2"/>
    <x v="1"/>
    <x v="10"/>
    <n v="3600000"/>
  </r>
  <r>
    <s v="ORD1396"/>
    <x v="58"/>
    <x v="1"/>
    <n v="1"/>
    <x v="2"/>
    <x v="2"/>
    <x v="1"/>
    <x v="10"/>
    <n v="3600000"/>
  </r>
  <r>
    <s v="ORD1397"/>
    <x v="41"/>
    <x v="0"/>
    <n v="1"/>
    <x v="1"/>
    <x v="2"/>
    <x v="1"/>
    <x v="59"/>
    <n v="1650000"/>
  </r>
  <r>
    <s v="ORD1398"/>
    <x v="58"/>
    <x v="1"/>
    <n v="1"/>
    <x v="0"/>
    <x v="0"/>
    <x v="1"/>
    <x v="84"/>
    <n v="23450000"/>
  </r>
  <r>
    <s v="ORD1399"/>
    <x v="4"/>
    <x v="0"/>
    <n v="1"/>
    <x v="2"/>
    <x v="1"/>
    <x v="0"/>
    <x v="18"/>
    <n v="48000000"/>
  </r>
  <r>
    <s v="ORD1400"/>
    <x v="41"/>
    <x v="0"/>
    <n v="1"/>
    <x v="4"/>
    <x v="1"/>
    <x v="1"/>
    <x v="54"/>
    <n v="9000000"/>
  </r>
  <r>
    <s v="ORD1401"/>
    <x v="51"/>
    <x v="1"/>
    <n v="1"/>
    <x v="0"/>
    <x v="2"/>
    <x v="0"/>
    <x v="47"/>
    <n v="8700000"/>
  </r>
  <r>
    <s v="ORD1402"/>
    <x v="40"/>
    <x v="0"/>
    <n v="1"/>
    <x v="3"/>
    <x v="0"/>
    <x v="0"/>
    <x v="39"/>
    <n v="32900000"/>
  </r>
  <r>
    <s v="ORD1403"/>
    <x v="21"/>
    <x v="0"/>
    <n v="1"/>
    <x v="2"/>
    <x v="2"/>
    <x v="0"/>
    <x v="76"/>
    <n v="5250000"/>
  </r>
  <r>
    <s v="ORD1404"/>
    <x v="22"/>
    <x v="0"/>
    <n v="1"/>
    <x v="1"/>
    <x v="2"/>
    <x v="0"/>
    <x v="35"/>
    <n v="10650000"/>
  </r>
  <r>
    <s v="ORD1405"/>
    <x v="17"/>
    <x v="0"/>
    <n v="1"/>
    <x v="0"/>
    <x v="1"/>
    <x v="0"/>
    <x v="63"/>
    <n v="46000000"/>
  </r>
  <r>
    <s v="ORD1406"/>
    <x v="35"/>
    <x v="0"/>
    <n v="1"/>
    <x v="4"/>
    <x v="0"/>
    <x v="1"/>
    <x v="79"/>
    <n v="5250000"/>
  </r>
  <r>
    <s v="ORD1407"/>
    <x v="10"/>
    <x v="1"/>
    <n v="1"/>
    <x v="2"/>
    <x v="2"/>
    <x v="0"/>
    <x v="51"/>
    <n v="4800000"/>
  </r>
  <r>
    <s v="ORD1408"/>
    <x v="31"/>
    <x v="1"/>
    <n v="1"/>
    <x v="2"/>
    <x v="0"/>
    <x v="0"/>
    <x v="27"/>
    <n v="13300000"/>
  </r>
  <r>
    <s v="ORD1409"/>
    <x v="18"/>
    <x v="1"/>
    <n v="1"/>
    <x v="0"/>
    <x v="2"/>
    <x v="1"/>
    <x v="80"/>
    <n v="6450000"/>
  </r>
  <r>
    <s v="ORD1410"/>
    <x v="55"/>
    <x v="0"/>
    <n v="1"/>
    <x v="2"/>
    <x v="2"/>
    <x v="1"/>
    <x v="42"/>
    <n v="14550000"/>
  </r>
  <r>
    <s v="ORD1411"/>
    <x v="45"/>
    <x v="0"/>
    <n v="1"/>
    <x v="1"/>
    <x v="1"/>
    <x v="1"/>
    <x v="56"/>
    <n v="44000000"/>
  </r>
  <r>
    <s v="ORD1412"/>
    <x v="46"/>
    <x v="1"/>
    <n v="1"/>
    <x v="3"/>
    <x v="1"/>
    <x v="0"/>
    <x v="50"/>
    <n v="29500000"/>
  </r>
  <r>
    <s v="ORD1413"/>
    <x v="20"/>
    <x v="0"/>
    <n v="1"/>
    <x v="2"/>
    <x v="1"/>
    <x v="1"/>
    <x v="39"/>
    <n v="47000000"/>
  </r>
  <r>
    <s v="ORD1414"/>
    <x v="33"/>
    <x v="1"/>
    <n v="1"/>
    <x v="0"/>
    <x v="0"/>
    <x v="0"/>
    <x v="23"/>
    <n v="26250000"/>
  </r>
  <r>
    <s v="ORD1415"/>
    <x v="9"/>
    <x v="1"/>
    <n v="1"/>
    <x v="4"/>
    <x v="2"/>
    <x v="1"/>
    <x v="33"/>
    <n v="13050000"/>
  </r>
  <r>
    <s v="ORD1416"/>
    <x v="14"/>
    <x v="2"/>
    <n v="1"/>
    <x v="0"/>
    <x v="0"/>
    <x v="0"/>
    <x v="7"/>
    <n v="10150000"/>
  </r>
  <r>
    <s v="ORD1417"/>
    <x v="48"/>
    <x v="0"/>
    <n v="1"/>
    <x v="2"/>
    <x v="0"/>
    <x v="1"/>
    <x v="56"/>
    <n v="30800000"/>
  </r>
  <r>
    <s v="ORD1418"/>
    <x v="1"/>
    <x v="1"/>
    <n v="1"/>
    <x v="4"/>
    <x v="1"/>
    <x v="1"/>
    <x v="17"/>
    <n v="30000000"/>
  </r>
  <r>
    <s v="ORD1419"/>
    <x v="19"/>
    <x v="1"/>
    <n v="1"/>
    <x v="3"/>
    <x v="2"/>
    <x v="0"/>
    <x v="44"/>
    <n v="12600000"/>
  </r>
  <r>
    <s v="ORD1420"/>
    <x v="47"/>
    <x v="0"/>
    <n v="1"/>
    <x v="1"/>
    <x v="2"/>
    <x v="1"/>
    <x v="23"/>
    <n v="11250000"/>
  </r>
  <r>
    <s v="ORD1421"/>
    <x v="49"/>
    <x v="1"/>
    <n v="1"/>
    <x v="2"/>
    <x v="2"/>
    <x v="1"/>
    <x v="38"/>
    <n v="2850000"/>
  </r>
  <r>
    <s v="ORD1422"/>
    <x v="39"/>
    <x v="0"/>
    <n v="1"/>
    <x v="2"/>
    <x v="1"/>
    <x v="0"/>
    <x v="54"/>
    <n v="9000000"/>
  </r>
  <r>
    <s v="ORD1423"/>
    <x v="23"/>
    <x v="1"/>
    <n v="1"/>
    <x v="2"/>
    <x v="0"/>
    <x v="1"/>
    <x v="14"/>
    <n v="27650000"/>
  </r>
  <r>
    <s v="ORD1424"/>
    <x v="28"/>
    <x v="0"/>
    <n v="1"/>
    <x v="2"/>
    <x v="1"/>
    <x v="0"/>
    <x v="27"/>
    <n v="19000000"/>
  </r>
  <r>
    <s v="ORD1425"/>
    <x v="4"/>
    <x v="0"/>
    <n v="1"/>
    <x v="4"/>
    <x v="2"/>
    <x v="1"/>
    <x v="51"/>
    <n v="4800000"/>
  </r>
  <r>
    <s v="ORD1426"/>
    <x v="44"/>
    <x v="0"/>
    <n v="1"/>
    <x v="0"/>
    <x v="0"/>
    <x v="1"/>
    <x v="36"/>
    <n v="34300000"/>
  </r>
  <r>
    <s v="ORD1427"/>
    <x v="31"/>
    <x v="1"/>
    <n v="1"/>
    <x v="3"/>
    <x v="1"/>
    <x v="1"/>
    <x v="84"/>
    <n v="33500000"/>
  </r>
  <r>
    <s v="ORD1428"/>
    <x v="3"/>
    <x v="1"/>
    <n v="1"/>
    <x v="2"/>
    <x v="2"/>
    <x v="0"/>
    <x v="83"/>
    <n v="5100000"/>
  </r>
  <r>
    <s v="ORD1429"/>
    <x v="56"/>
    <x v="0"/>
    <n v="1"/>
    <x v="1"/>
    <x v="2"/>
    <x v="1"/>
    <x v="42"/>
    <n v="14550000"/>
  </r>
  <r>
    <s v="ORD1430"/>
    <x v="34"/>
    <x v="1"/>
    <n v="1"/>
    <x v="2"/>
    <x v="1"/>
    <x v="1"/>
    <x v="17"/>
    <n v="30000000"/>
  </r>
  <r>
    <s v="ORD1431"/>
    <x v="40"/>
    <x v="0"/>
    <n v="1"/>
    <x v="4"/>
    <x v="2"/>
    <x v="0"/>
    <x v="30"/>
    <n v="9450000"/>
  </r>
  <r>
    <s v="ORD1432"/>
    <x v="42"/>
    <x v="1"/>
    <n v="1"/>
    <x v="1"/>
    <x v="0"/>
    <x v="1"/>
    <x v="19"/>
    <n v="10850000"/>
  </r>
  <r>
    <s v="ORD1433"/>
    <x v="15"/>
    <x v="0"/>
    <n v="1"/>
    <x v="4"/>
    <x v="2"/>
    <x v="1"/>
    <x v="77"/>
    <n v="6900000"/>
  </r>
  <r>
    <s v="ORD1434"/>
    <x v="34"/>
    <x v="1"/>
    <n v="1"/>
    <x v="3"/>
    <x v="0"/>
    <x v="0"/>
    <x v="51"/>
    <n v="11200000"/>
  </r>
  <r>
    <s v="ORD1435"/>
    <x v="35"/>
    <x v="0"/>
    <n v="1"/>
    <x v="0"/>
    <x v="2"/>
    <x v="1"/>
    <x v="30"/>
    <n v="9450000"/>
  </r>
  <r>
    <s v="ORD1436"/>
    <x v="13"/>
    <x v="0"/>
    <n v="1"/>
    <x v="3"/>
    <x v="2"/>
    <x v="1"/>
    <x v="10"/>
    <n v="3600000"/>
  </r>
  <r>
    <s v="ORD1437"/>
    <x v="45"/>
    <x v="0"/>
    <n v="1"/>
    <x v="4"/>
    <x v="0"/>
    <x v="1"/>
    <x v="10"/>
    <n v="8400000"/>
  </r>
  <r>
    <s v="ORD1438"/>
    <x v="22"/>
    <x v="0"/>
    <n v="1"/>
    <x v="3"/>
    <x v="2"/>
    <x v="1"/>
    <x v="14"/>
    <n v="11850000"/>
  </r>
  <r>
    <s v="ORD1439"/>
    <x v="8"/>
    <x v="1"/>
    <n v="1"/>
    <x v="4"/>
    <x v="2"/>
    <x v="1"/>
    <x v="14"/>
    <n v="11850000"/>
  </r>
  <r>
    <s v="ORD1440"/>
    <x v="4"/>
    <x v="0"/>
    <n v="1"/>
    <x v="3"/>
    <x v="2"/>
    <x v="0"/>
    <x v="84"/>
    <n v="10050000"/>
  </r>
  <r>
    <s v="ORD1441"/>
    <x v="6"/>
    <x v="1"/>
    <n v="1"/>
    <x v="4"/>
    <x v="1"/>
    <x v="0"/>
    <x v="14"/>
    <n v="39500000"/>
  </r>
  <r>
    <s v="ORD1442"/>
    <x v="5"/>
    <x v="1"/>
    <n v="1"/>
    <x v="0"/>
    <x v="1"/>
    <x v="1"/>
    <x v="86"/>
    <n v="41500000"/>
  </r>
  <r>
    <s v="ORD1443"/>
    <x v="28"/>
    <x v="0"/>
    <n v="1"/>
    <x v="2"/>
    <x v="1"/>
    <x v="1"/>
    <x v="55"/>
    <n v="45500000"/>
  </r>
  <r>
    <s v="ORD1444"/>
    <x v="15"/>
    <x v="0"/>
    <n v="1"/>
    <x v="0"/>
    <x v="2"/>
    <x v="1"/>
    <x v="68"/>
    <n v="4950000"/>
  </r>
  <r>
    <s v="ORD1445"/>
    <x v="21"/>
    <x v="0"/>
    <n v="1"/>
    <x v="0"/>
    <x v="0"/>
    <x v="1"/>
    <x v="10"/>
    <n v="8400000"/>
  </r>
  <r>
    <s v="ORD1446"/>
    <x v="1"/>
    <x v="1"/>
    <n v="1"/>
    <x v="3"/>
    <x v="0"/>
    <x v="0"/>
    <x v="77"/>
    <n v="16100000"/>
  </r>
  <r>
    <s v="ORD1447"/>
    <x v="3"/>
    <x v="1"/>
    <n v="1"/>
    <x v="0"/>
    <x v="1"/>
    <x v="1"/>
    <x v="82"/>
    <n v="5000000"/>
  </r>
  <r>
    <s v="ORD1448"/>
    <x v="26"/>
    <x v="1"/>
    <n v="1"/>
    <x v="1"/>
    <x v="2"/>
    <x v="0"/>
    <x v="6"/>
    <n v="9300000"/>
  </r>
  <r>
    <s v="ORD1449"/>
    <x v="12"/>
    <x v="1"/>
    <n v="1"/>
    <x v="4"/>
    <x v="1"/>
    <x v="0"/>
    <x v="63"/>
    <n v="46000000"/>
  </r>
  <r>
    <s v="ORD1450"/>
    <x v="44"/>
    <x v="0"/>
    <n v="1"/>
    <x v="2"/>
    <x v="0"/>
    <x v="0"/>
    <x v="66"/>
    <n v="13650000"/>
  </r>
  <r>
    <s v="ORD1451"/>
    <x v="45"/>
    <x v="0"/>
    <n v="1"/>
    <x v="2"/>
    <x v="2"/>
    <x v="0"/>
    <x v="23"/>
    <n v="11250000"/>
  </r>
  <r>
    <s v="ORD1452"/>
    <x v="34"/>
    <x v="1"/>
    <n v="1"/>
    <x v="0"/>
    <x v="1"/>
    <x v="0"/>
    <x v="51"/>
    <n v="16000000"/>
  </r>
  <r>
    <s v="ORD1453"/>
    <x v="24"/>
    <x v="0"/>
    <n v="1"/>
    <x v="4"/>
    <x v="0"/>
    <x v="1"/>
    <x v="0"/>
    <n v="8750000"/>
  </r>
  <r>
    <s v="ORD1454"/>
    <x v="56"/>
    <x v="0"/>
    <n v="1"/>
    <x v="2"/>
    <x v="0"/>
    <x v="0"/>
    <x v="26"/>
    <n v="14350000"/>
  </r>
  <r>
    <s v="ORD1455"/>
    <x v="0"/>
    <x v="0"/>
    <n v="1"/>
    <x v="2"/>
    <x v="1"/>
    <x v="1"/>
    <x v="30"/>
    <n v="31500000"/>
  </r>
  <r>
    <s v="ORD1456"/>
    <x v="33"/>
    <x v="1"/>
    <n v="1"/>
    <x v="3"/>
    <x v="2"/>
    <x v="0"/>
    <x v="53"/>
    <n v="8100000"/>
  </r>
  <r>
    <s v="ORD1457"/>
    <x v="2"/>
    <x v="0"/>
    <n v="1"/>
    <x v="2"/>
    <x v="2"/>
    <x v="1"/>
    <x v="0"/>
    <n v="3750000"/>
  </r>
  <r>
    <s v="ORD1458"/>
    <x v="27"/>
    <x v="1"/>
    <n v="1"/>
    <x v="0"/>
    <x v="2"/>
    <x v="0"/>
    <x v="43"/>
    <n v="4200000"/>
  </r>
  <r>
    <s v="ORD1459"/>
    <x v="14"/>
    <x v="2"/>
    <n v="1"/>
    <x v="3"/>
    <x v="1"/>
    <x v="0"/>
    <x v="62"/>
    <n v="40500000"/>
  </r>
  <r>
    <s v="ORD1460"/>
    <x v="11"/>
    <x v="0"/>
    <n v="1"/>
    <x v="0"/>
    <x v="0"/>
    <x v="1"/>
    <x v="50"/>
    <n v="20650000"/>
  </r>
  <r>
    <s v="ORD1461"/>
    <x v="44"/>
    <x v="0"/>
    <n v="1"/>
    <x v="4"/>
    <x v="1"/>
    <x v="1"/>
    <x v="89"/>
    <n v="20000000"/>
  </r>
  <r>
    <s v="ORD1462"/>
    <x v="13"/>
    <x v="0"/>
    <n v="1"/>
    <x v="2"/>
    <x v="0"/>
    <x v="1"/>
    <x v="77"/>
    <n v="16100000"/>
  </r>
  <r>
    <s v="ORD1463"/>
    <x v="25"/>
    <x v="1"/>
    <n v="1"/>
    <x v="1"/>
    <x v="0"/>
    <x v="0"/>
    <x v="33"/>
    <n v="30450000"/>
  </r>
  <r>
    <s v="ORD1464"/>
    <x v="23"/>
    <x v="1"/>
    <n v="1"/>
    <x v="1"/>
    <x v="1"/>
    <x v="0"/>
    <x v="8"/>
    <n v="21000000"/>
  </r>
  <r>
    <s v="ORD1465"/>
    <x v="56"/>
    <x v="0"/>
    <n v="1"/>
    <x v="2"/>
    <x v="2"/>
    <x v="0"/>
    <x v="31"/>
    <n v="2400000"/>
  </r>
  <r>
    <s v="ORD1466"/>
    <x v="20"/>
    <x v="0"/>
    <n v="1"/>
    <x v="2"/>
    <x v="0"/>
    <x v="1"/>
    <x v="23"/>
    <n v="26250000"/>
  </r>
  <r>
    <s v="ORD1467"/>
    <x v="46"/>
    <x v="1"/>
    <n v="1"/>
    <x v="4"/>
    <x v="0"/>
    <x v="0"/>
    <x v="71"/>
    <n v="26600000"/>
  </r>
  <r>
    <s v="ORD1468"/>
    <x v="13"/>
    <x v="0"/>
    <n v="1"/>
    <x v="2"/>
    <x v="0"/>
    <x v="1"/>
    <x v="73"/>
    <n v="24150000"/>
  </r>
  <r>
    <s v="ORD1469"/>
    <x v="55"/>
    <x v="0"/>
    <n v="1"/>
    <x v="0"/>
    <x v="0"/>
    <x v="0"/>
    <x v="37"/>
    <n v="19250000"/>
  </r>
  <r>
    <s v="ORD1470"/>
    <x v="43"/>
    <x v="0"/>
    <n v="1"/>
    <x v="1"/>
    <x v="2"/>
    <x v="0"/>
    <x v="62"/>
    <n v="12150000"/>
  </r>
  <r>
    <s v="ORD1471"/>
    <x v="19"/>
    <x v="1"/>
    <n v="1"/>
    <x v="3"/>
    <x v="2"/>
    <x v="0"/>
    <x v="34"/>
    <n v="1950000"/>
  </r>
  <r>
    <s v="ORD1472"/>
    <x v="57"/>
    <x v="1"/>
    <n v="1"/>
    <x v="3"/>
    <x v="1"/>
    <x v="1"/>
    <x v="22"/>
    <n v="33000000"/>
  </r>
  <r>
    <s v="ORD1473"/>
    <x v="21"/>
    <x v="0"/>
    <n v="1"/>
    <x v="0"/>
    <x v="2"/>
    <x v="1"/>
    <x v="79"/>
    <n v="2250000"/>
  </r>
  <r>
    <s v="ORD1474"/>
    <x v="57"/>
    <x v="1"/>
    <n v="1"/>
    <x v="4"/>
    <x v="1"/>
    <x v="0"/>
    <x v="16"/>
    <n v="25500000"/>
  </r>
  <r>
    <s v="ORD1475"/>
    <x v="57"/>
    <x v="1"/>
    <n v="1"/>
    <x v="1"/>
    <x v="2"/>
    <x v="1"/>
    <x v="55"/>
    <n v="13650000"/>
  </r>
  <r>
    <s v="ORD1476"/>
    <x v="40"/>
    <x v="0"/>
    <n v="1"/>
    <x v="4"/>
    <x v="0"/>
    <x v="1"/>
    <x v="29"/>
    <n v="31150000"/>
  </r>
  <r>
    <s v="ORD1477"/>
    <x v="32"/>
    <x v="0"/>
    <n v="1"/>
    <x v="1"/>
    <x v="0"/>
    <x v="1"/>
    <x v="16"/>
    <n v="17850000"/>
  </r>
  <r>
    <s v="ORD1478"/>
    <x v="51"/>
    <x v="1"/>
    <n v="1"/>
    <x v="1"/>
    <x v="1"/>
    <x v="0"/>
    <x v="39"/>
    <n v="47000000"/>
  </r>
  <r>
    <s v="ORD1479"/>
    <x v="7"/>
    <x v="0"/>
    <n v="1"/>
    <x v="3"/>
    <x v="1"/>
    <x v="0"/>
    <x v="76"/>
    <n v="175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A2526-089C-4936-9B22-F80F983FD551}" name="PivotTable14" cacheId="59" applyNumberFormats="0" applyBorderFormats="0" applyFontFormats="0" applyPatternFormats="0" applyAlignmentFormats="0" applyWidthHeightFormats="1" dataCaption="Giá trị" updatedVersion="8" minRefreshableVersion="3" useAutoFormatting="1" itemPrintTitles="1" createdVersion="8" indent="0" compact="0" compactData="0" multipleFieldFilters="0" chartFormat="1">
  <location ref="AH10:AI14" firstHeaderRow="1" firstDataRow="1" firstDataCol="1"/>
  <pivotFields count="9">
    <pivotField compact="0" outline="0" showAll="0"/>
    <pivotField compact="0" numFmtId="14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>
      <items count="6">
        <item x="0"/>
        <item x="1"/>
        <item x="2"/>
        <item x="4"/>
        <item x="3"/>
        <item t="default"/>
      </items>
    </pivotField>
    <pivotField axis="axisRow" compact="0" outline="0" showAll="0">
      <items count="4">
        <item x="0"/>
        <item x="2"/>
        <item x="1"/>
        <item t="default"/>
      </items>
    </pivotField>
    <pivotField compact="0" outline="0" showAll="0">
      <items count="3">
        <item x="0"/>
        <item x="1"/>
        <item t="default"/>
      </items>
    </pivotField>
    <pivotField dataField="1" compact="0" numFmtId="1" outline="0" showAll="0"/>
    <pivotField compact="0" numFmtId="1" outline="0"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ổng của Số lượng" fld="7" baseField="0" baseItem="0" numFmtId="1"/>
  </dataFields>
  <chartFormats count="4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51730-7803-4C2D-B2F7-6C6A82608CA5}" name="PivotTable13" cacheId="59" applyNumberFormats="0" applyBorderFormats="0" applyFontFormats="0" applyPatternFormats="0" applyAlignmentFormats="0" applyWidthHeightFormats="1" dataCaption="Giá trị" updatedVersion="8" minRefreshableVersion="3" useAutoFormatting="1" itemPrintTitles="1" createdVersion="8" indent="0" compact="0" compactData="0" multipleFieldFilters="0" chartFormat="1">
  <location ref="AH1:AI7" firstHeaderRow="1" firstDataRow="1" firstDataCol="1"/>
  <pivotFields count="9">
    <pivotField compact="0" outline="0" showAll="0"/>
    <pivotField compact="0" numFmtId="14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4"/>
        <item x="3"/>
        <item t="default"/>
      </items>
    </pivotField>
    <pivotField compact="0" outline="0" showAll="0">
      <items count="4">
        <item x="0"/>
        <item x="2"/>
        <item x="1"/>
        <item t="default"/>
      </items>
    </pivotField>
    <pivotField compact="0" outline="0" showAll="0">
      <items count="3">
        <item x="0"/>
        <item x="1"/>
        <item t="default"/>
      </items>
    </pivotField>
    <pivotField dataField="1" compact="0" numFmtId="1" outline="0" showAll="0"/>
    <pivotField compact="0" numFmtId="1" outline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ổng của Số lượng" fld="7" baseField="0" baseItem="0" numFmtId="1"/>
  </dataFields>
  <chartFormats count="6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6F6CB-E03B-4DB2-85B5-4F0A4C0945BB}" name="PivotTable17" cacheId="59" applyNumberFormats="0" applyBorderFormats="0" applyFontFormats="0" applyPatternFormats="0" applyAlignmentFormats="0" applyWidthHeightFormats="1" dataCaption="Giá trị" updatedVersion="8" minRefreshableVersion="3" itemPrintTitles="1" createdVersion="8" indent="0" compact="0" compactData="0" multipleFieldFilters="0" chartFormat="1">
  <location ref="AH17:AI20" firstHeaderRow="1" firstDataRow="1" firstDataCol="1"/>
  <pivotFields count="9">
    <pivotField compact="0" outline="0" showAll="0"/>
    <pivotField compact="0" numFmtId="14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>
      <items count="6">
        <item x="0"/>
        <item x="1"/>
        <item x="2"/>
        <item x="4"/>
        <item x="3"/>
        <item t="default"/>
      </items>
    </pivotField>
    <pivotField compact="0" outline="0" showAll="0">
      <items count="4">
        <item x="0"/>
        <item x="2"/>
        <item x="1"/>
        <item t="default"/>
      </items>
    </pivotField>
    <pivotField axis="axisRow" compact="0" outline="0" showAll="0">
      <items count="3">
        <item x="0"/>
        <item x="1"/>
        <item t="default"/>
      </items>
    </pivotField>
    <pivotField dataField="1" compact="0" numFmtId="1" outline="0" showAll="0"/>
    <pivotField compact="0" numFmtId="1" outline="0"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Tổng của Số lượng" fld="7" baseField="0" baseItem="0" numFmtId="1"/>
  </dataField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CDD31A-4E2C-4FAE-A570-85039E3CA971}" name="PivotTable11" cacheId="59" applyNumberFormats="0" applyBorderFormats="0" applyFontFormats="0" applyPatternFormats="0" applyAlignmentFormats="0" applyWidthHeightFormats="1" dataCaption="Giá trị" updatedVersion="8" minRefreshableVersion="3" useAutoFormatting="1" itemPrintTitles="1" createdVersion="8" indent="0" compact="0" compactData="0" multipleFieldFilters="0" chartFormat="1">
  <location ref="AB17:AF21" firstHeaderRow="1" firstDataRow="2" firstDataCol="1"/>
  <pivotFields count="9">
    <pivotField compact="0" outline="0" showAll="0"/>
    <pivotField compact="0" numFmtId="14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>
      <items count="6">
        <item x="0"/>
        <item x="1"/>
        <item x="2"/>
        <item x="4"/>
        <item x="3"/>
        <item t="default"/>
      </items>
    </pivotField>
    <pivotField axis="axisCol" compact="0" outline="0" showAll="0">
      <items count="4">
        <item x="0"/>
        <item x="2"/>
        <item x="1"/>
        <item t="default"/>
      </items>
    </pivotField>
    <pivotField axis="axisRow" compact="0" outline="0" showAll="0">
      <items count="3">
        <item x="0"/>
        <item x="1"/>
        <item t="default"/>
      </items>
    </pivotField>
    <pivotField dataField="1" compact="0" numFmtId="1" outline="0" showAll="0"/>
    <pivotField compact="0" numFmtId="1" outline="0" showAll="0"/>
  </pivotFields>
  <rowFields count="1">
    <field x="6"/>
  </rowFields>
  <rowItems count="3">
    <i>
      <x/>
    </i>
    <i>
      <x v="1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Tổng của Số lượng" fld="7" baseField="0" baseItem="0" numFmtId="1"/>
  </dataFields>
  <chartFormats count="3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77FAF6-3A21-4A53-91A2-197F3AF77630}" name="PivotTable16" cacheId="59" applyNumberFormats="0" applyBorderFormats="0" applyFontFormats="0" applyPatternFormats="0" applyAlignmentFormats="0" applyWidthHeightFormats="1" dataCaption="Giá trị" updatedVersion="8" minRefreshableVersion="3" useAutoFormatting="1" itemPrintTitles="1" createdVersion="8" indent="0" compact="0" compactData="0" multipleFieldFilters="0" chartFormat="1">
  <location ref="X1:Y63" firstHeaderRow="1" firstDataRow="1" firstDataCol="1"/>
  <pivotFields count="9">
    <pivotField compact="0" outline="0" showAll="0"/>
    <pivotField axis="axisRow" compact="0" numFmtId="14" outline="0" showAll="0">
      <items count="62">
        <item x="60"/>
        <item x="15"/>
        <item x="22"/>
        <item x="40"/>
        <item x="16"/>
        <item x="35"/>
        <item x="0"/>
        <item x="38"/>
        <item x="44"/>
        <item x="39"/>
        <item x="32"/>
        <item x="2"/>
        <item x="7"/>
        <item x="4"/>
        <item x="20"/>
        <item x="21"/>
        <item x="56"/>
        <item x="37"/>
        <item x="17"/>
        <item x="47"/>
        <item x="45"/>
        <item x="54"/>
        <item x="41"/>
        <item x="28"/>
        <item x="48"/>
        <item x="24"/>
        <item x="55"/>
        <item x="43"/>
        <item x="53"/>
        <item x="13"/>
        <item x="11"/>
        <item x="10"/>
        <item x="25"/>
        <item x="5"/>
        <item x="36"/>
        <item x="34"/>
        <item x="57"/>
        <item x="1"/>
        <item x="3"/>
        <item x="23"/>
        <item x="33"/>
        <item x="18"/>
        <item x="8"/>
        <item x="59"/>
        <item x="46"/>
        <item x="30"/>
        <item x="52"/>
        <item x="58"/>
        <item x="19"/>
        <item x="6"/>
        <item x="12"/>
        <item x="49"/>
        <item x="50"/>
        <item x="27"/>
        <item x="9"/>
        <item x="42"/>
        <item x="31"/>
        <item x="26"/>
        <item x="51"/>
        <item x="14"/>
        <item x="29"/>
        <item t="default"/>
      </items>
    </pivotField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>
      <items count="6">
        <item x="0"/>
        <item x="1"/>
        <item x="2"/>
        <item x="4"/>
        <item x="3"/>
        <item t="default"/>
      </items>
    </pivotField>
    <pivotField compact="0" outline="0" showAll="0">
      <items count="4">
        <item x="0"/>
        <item x="2"/>
        <item x="1"/>
        <item t="default"/>
      </items>
    </pivotField>
    <pivotField compact="0" outline="0" showAll="0">
      <items count="3">
        <item x="0"/>
        <item x="1"/>
        <item t="default"/>
      </items>
    </pivotField>
    <pivotField compact="0" numFmtId="1" outline="0" showAll="0"/>
    <pivotField dataField="1" compact="0" numFmtId="1" outline="0" showAll="0"/>
  </pivotFields>
  <rowFields count="1">
    <field x="1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Tổng của Doanh thu" fld="8" baseField="0" baseItem="0" numFmtId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CCC6CA-9484-4619-982C-9C9647127CA0}" name="PivotTable15" cacheId="59" applyNumberFormats="0" applyBorderFormats="0" applyFontFormats="0" applyPatternFormats="0" applyAlignmentFormats="0" applyWidthHeightFormats="1" dataCaption="Giá trị" missingCaption="0" updatedVersion="8" minRefreshableVersion="3" useAutoFormatting="1" itemPrintTitles="1" createdVersion="8" indent="0" compact="0" compactData="0" multipleFieldFilters="0" chartFormat="1">
  <location ref="Q1:U64" firstHeaderRow="1" firstDataRow="2" firstDataCol="1"/>
  <pivotFields count="9">
    <pivotField compact="0" outline="0" showAll="0"/>
    <pivotField axis="axisRow" compact="0" numFmtId="14" outline="0" showAll="0">
      <items count="62">
        <item x="60"/>
        <item x="15"/>
        <item x="22"/>
        <item x="40"/>
        <item x="16"/>
        <item x="35"/>
        <item x="0"/>
        <item x="38"/>
        <item x="44"/>
        <item x="39"/>
        <item x="32"/>
        <item x="2"/>
        <item x="7"/>
        <item x="4"/>
        <item x="20"/>
        <item x="21"/>
        <item x="56"/>
        <item x="37"/>
        <item x="17"/>
        <item x="47"/>
        <item x="45"/>
        <item x="54"/>
        <item x="41"/>
        <item x="28"/>
        <item x="48"/>
        <item x="24"/>
        <item x="55"/>
        <item x="43"/>
        <item x="53"/>
        <item x="13"/>
        <item x="11"/>
        <item x="10"/>
        <item x="25"/>
        <item x="5"/>
        <item x="36"/>
        <item x="34"/>
        <item x="57"/>
        <item x="1"/>
        <item x="3"/>
        <item x="23"/>
        <item x="33"/>
        <item x="18"/>
        <item x="8"/>
        <item x="59"/>
        <item x="46"/>
        <item x="30"/>
        <item x="52"/>
        <item x="58"/>
        <item x="19"/>
        <item x="6"/>
        <item x="12"/>
        <item x="49"/>
        <item x="50"/>
        <item x="27"/>
        <item x="9"/>
        <item x="42"/>
        <item x="31"/>
        <item x="26"/>
        <item x="51"/>
        <item x="14"/>
        <item x="29"/>
        <item t="default"/>
      </items>
    </pivotField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>
      <items count="6">
        <item x="0"/>
        <item x="1"/>
        <item x="2"/>
        <item x="4"/>
        <item x="3"/>
        <item t="default"/>
      </items>
    </pivotField>
    <pivotField axis="axisCol" compact="0" outline="0" showAll="0">
      <items count="4">
        <item x="0"/>
        <item x="2"/>
        <item x="1"/>
        <item t="default"/>
      </items>
    </pivotField>
    <pivotField compact="0" outline="0" showAll="0">
      <items count="3">
        <item x="0"/>
        <item x="1"/>
        <item t="default"/>
      </items>
    </pivotField>
    <pivotField dataField="1" compact="0" numFmtId="1" outline="0" showAll="0"/>
    <pivotField compact="0" numFmtId="1" outline="0" showAll="0"/>
  </pivotFields>
  <rowFields count="1">
    <field x="1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Tổng của Số lượng" fld="7" baseField="0" baseItem="0" numFmtId="1"/>
  </dataFields>
  <chartFormats count="3"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D46087-06C6-4C95-A155-F09454797181}" name="PivotTable9" cacheId="59" applyNumberFormats="0" applyBorderFormats="0" applyFontFormats="0" applyPatternFormats="0" applyAlignmentFormats="0" applyWidthHeightFormats="1" dataCaption="Giá trị" updatedVersion="8" minRefreshableVersion="3" useAutoFormatting="1" itemPrintTitles="1" createdVersion="8" indent="0" compact="0" compactData="0" multipleFieldFilters="0" chartFormat="1">
  <location ref="AB10:AF15" firstHeaderRow="1" firstDataRow="2" firstDataCol="1"/>
  <pivotFields count="9">
    <pivotField compact="0" outline="0" showAll="0"/>
    <pivotField compact="0" numFmtId="14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>
      <items count="6">
        <item x="0"/>
        <item x="1"/>
        <item x="2"/>
        <item x="4"/>
        <item x="3"/>
        <item t="default"/>
      </items>
    </pivotField>
    <pivotField axis="axisCol" compact="0" outline="0" showAll="0">
      <items count="4">
        <item x="0"/>
        <item x="2"/>
        <item x="1"/>
        <item t="default"/>
      </items>
    </pivotField>
    <pivotField compact="0" outline="0" showAll="0">
      <items count="3">
        <item x="0"/>
        <item x="1"/>
        <item t="default"/>
      </items>
    </pivotField>
    <pivotField dataField="1" compact="0" numFmtId="1" outline="0" showAll="0"/>
    <pivotField compact="0" numFmtId="1" outline="0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Tổng của Số lượng" fld="7" baseField="0" baseItem="0" numFmtId="1"/>
  </dataFields>
  <chartFormats count="4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F043F9-7C51-431A-9C1C-2517142A794D}" name="PivotTable10" cacheId="59" applyNumberFormats="0" applyBorderFormats="0" applyFontFormats="0" applyPatternFormats="0" applyAlignmentFormats="0" applyWidthHeightFormats="1" dataCaption="Giá trị" updatedVersion="8" minRefreshableVersion="3" useAutoFormatting="1" itemPrintTitles="1" createdVersion="8" indent="0" compact="0" compactData="0" multipleFieldFilters="0" chartFormat="4">
  <location ref="AB1:AF8" firstHeaderRow="1" firstDataRow="2" firstDataCol="1"/>
  <pivotFields count="9">
    <pivotField compact="0" outline="0" showAll="0"/>
    <pivotField compact="0" numFmtId="14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4"/>
        <item x="3"/>
        <item t="default"/>
      </items>
    </pivotField>
    <pivotField axis="axisCol" compact="0" outline="0" showAll="0">
      <items count="4">
        <item x="0"/>
        <item x="2"/>
        <item x="1"/>
        <item t="default"/>
      </items>
    </pivotField>
    <pivotField compact="0" outline="0" showAll="0">
      <items count="3">
        <item x="0"/>
        <item x="1"/>
        <item t="default"/>
      </items>
    </pivotField>
    <pivotField dataField="1" compact="0" numFmtId="1" outline="0" showAll="0">
      <items count="91">
        <item x="82"/>
        <item x="59"/>
        <item x="32"/>
        <item x="34"/>
        <item x="45"/>
        <item x="79"/>
        <item x="31"/>
        <item x="1"/>
        <item x="54"/>
        <item x="38"/>
        <item x="72"/>
        <item x="52"/>
        <item x="20"/>
        <item x="10"/>
        <item x="0"/>
        <item x="12"/>
        <item x="46"/>
        <item x="43"/>
        <item x="7"/>
        <item x="85"/>
        <item x="19"/>
        <item x="51"/>
        <item x="68"/>
        <item x="83"/>
        <item x="76"/>
        <item x="61"/>
        <item x="60"/>
        <item x="27"/>
        <item x="66"/>
        <item x="89"/>
        <item x="26"/>
        <item x="8"/>
        <item x="80"/>
        <item x="13"/>
        <item x="4"/>
        <item x="77"/>
        <item x="67"/>
        <item x="9"/>
        <item x="11"/>
        <item x="15"/>
        <item x="16"/>
        <item x="74"/>
        <item x="64"/>
        <item x="53"/>
        <item x="37"/>
        <item x="75"/>
        <item x="87"/>
        <item x="47"/>
        <item x="50"/>
        <item x="17"/>
        <item x="41"/>
        <item x="6"/>
        <item x="30"/>
        <item x="48"/>
        <item x="3"/>
        <item x="22"/>
        <item x="84"/>
        <item x="70"/>
        <item x="73"/>
        <item x="69"/>
        <item x="35"/>
        <item x="88"/>
        <item x="81"/>
        <item x="24"/>
        <item x="23"/>
        <item x="71"/>
        <item x="5"/>
        <item x="49"/>
        <item x="14"/>
        <item x="65"/>
        <item x="62"/>
        <item x="57"/>
        <item x="86"/>
        <item x="44"/>
        <item x="58"/>
        <item x="40"/>
        <item x="33"/>
        <item x="56"/>
        <item x="29"/>
        <item x="28"/>
        <item x="55"/>
        <item x="63"/>
        <item x="21"/>
        <item x="39"/>
        <item x="78"/>
        <item x="18"/>
        <item x="42"/>
        <item x="36"/>
        <item x="2"/>
        <item x="25"/>
        <item t="default"/>
      </items>
    </pivotField>
    <pivotField compact="0" numFmtId="1" outline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Tổng của Số lượng" fld="7" baseField="0" baseItem="0" numFmtId="1"/>
  </dataFields>
  <chartFormats count="9"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Bộcắt_Tháng" xr10:uid="{759EA7FA-8058-4DC6-A477-7C055E830ADD}" sourceName="Tháng">
  <pivotTables>
    <pivotTable tabId="11" name="PivotTable9"/>
    <pivotTable tabId="11" name="PivotTable15"/>
    <pivotTable tabId="11" name="PivotTable10"/>
    <pivotTable tabId="11" name="PivotTable16"/>
    <pivotTable tabId="11" name="PivotTable11"/>
    <pivotTable tabId="11" name="PivotTable17"/>
    <pivotTable tabId="11" name="PivotTable13"/>
    <pivotTable tabId="11" name="PivotTable14"/>
  </pivotTables>
  <data>
    <tabular pivotCacheId="720898858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Bộcắt_Khách_hàng" xr10:uid="{277AB927-2B7A-4DBB-A2F5-F0282354EB0C}" sourceName="Khách hàng">
  <pivotTables>
    <pivotTable tabId="11" name="PivotTable9"/>
    <pivotTable tabId="11" name="PivotTable14"/>
    <pivotTable tabId="11" name="PivotTable13"/>
    <pivotTable tabId="11" name="PivotTable11"/>
    <pivotTable tabId="11" name="PivotTable17"/>
    <pivotTable tabId="11" name="PivotTable16"/>
    <pivotTable tabId="11" name="PivotTable10"/>
    <pivotTable tabId="11" name="PivotTable15"/>
  </pivotTables>
  <data>
    <tabular pivotCacheId="720898858">
      <items count="5">
        <i x="0" s="1"/>
        <i x="1" s="1"/>
        <i x="2" s="1"/>
        <i x="4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Bộcắt_Mã_Sản_phẩm" xr10:uid="{BFA6534A-6747-43F4-B441-D6D233CFF8DA}" sourceName="Mã Sản phẩm">
  <pivotTables>
    <pivotTable tabId="11" name="PivotTable9"/>
    <pivotTable tabId="11" name="PivotTable14"/>
    <pivotTable tabId="11" name="PivotTable13"/>
    <pivotTable tabId="11" name="PivotTable11"/>
    <pivotTable tabId="11" name="PivotTable17"/>
    <pivotTable tabId="11" name="PivotTable16"/>
    <pivotTable tabId="11" name="PivotTable10"/>
    <pivotTable tabId="11" name="PivotTable15"/>
  </pivotTables>
  <data>
    <tabular pivotCacheId="720898858">
      <items count="3">
        <i x="0" s="1"/>
        <i x="2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Bộcắt_Khu_vực" xr10:uid="{0B340528-A41F-4830-BE65-57F7A2D8781F}" sourceName="Khu vực">
  <pivotTables>
    <pivotTable tabId="11" name="PivotTable9"/>
    <pivotTable tabId="11" name="PivotTable15"/>
    <pivotTable tabId="11" name="PivotTable10"/>
    <pivotTable tabId="11" name="PivotTable16"/>
    <pivotTable tabId="11" name="PivotTable17"/>
    <pivotTable tabId="11" name="PivotTable11"/>
    <pivotTable tabId="11" name="PivotTable13"/>
    <pivotTable tabId="11" name="PivotTable14"/>
  </pivotTables>
  <data>
    <tabular pivotCacheId="720898858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háng" xr10:uid="{7AF75D9D-59C3-45A3-896D-36C75ADF895C}" cache="Bộcắt_Tháng" caption="Tháng" rowHeight="228600"/>
  <slicer name="Khách hàng" xr10:uid="{B09FFA98-3E43-4362-AD8F-DC962B9533AF}" cache="Bộcắt_Khách_hàng" caption="Khách hàng" rowHeight="228600"/>
  <slicer name="Mã Sản phẩm" xr10:uid="{9B892335-8947-468E-B65B-FADFEBBD53D0}" cache="Bộcắt_Mã_Sản_phẩm" caption="Mã Sản phẩm" rowHeight="228600"/>
  <slicer name="Khu vực" xr10:uid="{EF201B8A-5A6F-4E1A-9644-A197F2DCB749}" cache="Bộcắt_Khu_vực" caption="Khu vực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A1:F4" totalsRowShown="0" headerRowDxfId="47" dataDxfId="46" headerRowBorderDxfId="44" tableBorderDxfId="45" headerRowCellStyle="Normal 2" dataCellStyle="Normal 2">
  <autoFilter ref="A1:F4" xr:uid="{00000000-0009-0000-0100-000004000000}"/>
  <tableColumns count="6">
    <tableColumn id="1" xr3:uid="{00000000-0010-0000-0000-000001000000}" name="SKU" dataDxfId="43" dataCellStyle="Normal 2"/>
    <tableColumn id="2" xr3:uid="{00000000-0010-0000-0000-000002000000}" name="Tên Sản Phẩm" dataDxfId="42" dataCellStyle="Normal 2"/>
    <tableColumn id="3" xr3:uid="{00000000-0010-0000-0000-000003000000}" name="Loại" dataDxfId="41" dataCellStyle="Normal 2"/>
    <tableColumn id="4" xr3:uid="{00000000-0010-0000-0000-000004000000}" name="Định mức Vải (m/sp)" dataDxfId="40" dataCellStyle="Normal 2"/>
    <tableColumn id="5" xr3:uid="{00000000-0010-0000-0000-000005000000}" name="Công lao động (giờ/sp)" dataDxfId="39" dataCellStyle="Normal 2"/>
    <tableColumn id="6" xr3:uid="{00000000-0010-0000-0000-000006000000}" name="Giá bán (VNĐ)" dataDxfId="38" dataCellStyle="Normal 2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5" displayName="Table5" ref="A1:D4" totalsRowShown="0" headerRowDxfId="37" dataDxfId="36" headerRowBorderDxfId="34" tableBorderDxfId="35" headerRowCellStyle="Normal 2" dataCellStyle="Normal 2">
  <autoFilter ref="A1:D4" xr:uid="{00000000-0009-0000-0100-000005000000}"/>
  <tableColumns count="4">
    <tableColumn id="1" xr3:uid="{00000000-0010-0000-0100-000001000000}" name="Factory_ID" dataDxfId="33" dataCellStyle="Normal 2"/>
    <tableColumn id="2" xr3:uid="{00000000-0010-0000-0100-000002000000}" name="Địa điểm" dataDxfId="32" dataCellStyle="Normal 2"/>
    <tableColumn id="3" xr3:uid="{00000000-0010-0000-0100-000003000000}" name="Công suất tối đa (giờ)" dataDxfId="31" dataCellStyle="Normal 2"/>
    <tableColumn id="4" xr3:uid="{00000000-0010-0000-0100-000004000000}" name="Chi phí vận hành ($/giờ)" dataDxfId="30" dataCellStyle="Normal 2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A1:C7" totalsRowShown="0" headerRowDxfId="29" dataDxfId="28">
  <autoFilter ref="A1:C7" xr:uid="{00000000-0009-0000-0100-000006000000}"/>
  <tableColumns count="3">
    <tableColumn id="1" xr3:uid="{00000000-0010-0000-0200-000001000000}" name="Source" dataDxfId="27"/>
    <tableColumn id="2" xr3:uid="{00000000-0010-0000-0200-000002000000}" name="Destination" dataDxfId="26"/>
    <tableColumn id="3" xr3:uid="{00000000-0010-0000-0200-000003000000}" name="Unit_Transport_Cost" dataDxfId="25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e8" displayName="Table8" ref="A1:C7" totalsRowShown="0" headerRowDxfId="24" dataDxfId="23">
  <autoFilter ref="A1:C7" xr:uid="{00000000-0009-0000-0100-000008000000}"/>
  <tableColumns count="3">
    <tableColumn id="1" xr3:uid="{00000000-0010-0000-0300-000001000000}" name="SKU" dataDxfId="22"/>
    <tableColumn id="2" xr3:uid="{00000000-0010-0000-0300-000002000000}" name="Region" dataDxfId="21"/>
    <tableColumn id="3" xr3:uid="{00000000-0010-0000-0300-000003000000}" name="Forecasted_Demand" dataDxfId="20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le7" displayName="Table7" ref="A1:C4" totalsRowShown="0" headerRowDxfId="19" dataDxfId="18" headerRowBorderDxfId="16" tableBorderDxfId="17" headerRowCellStyle="Normal 2" dataCellStyle="Normal 2">
  <autoFilter ref="A1:C4" xr:uid="{00000000-0009-0000-0100-000007000000}"/>
  <tableColumns count="3">
    <tableColumn id="1" xr3:uid="{00000000-0010-0000-0400-000001000000}" name="SKU" dataDxfId="15" dataCellStyle="Normal 2"/>
    <tableColumn id="2" xr3:uid="{00000000-0010-0000-0400-000002000000}" name="Tồn kho hiện tại" dataDxfId="14" dataCellStyle="Normal 2"/>
    <tableColumn id="3" xr3:uid="{00000000-0010-0000-0400-000003000000}" name="Mức an toàn" dataDxfId="13" dataCellStyle="Normal 2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able1" displayName="Table1" ref="A1:I481" totalsRowShown="0" headerRowDxfId="12" dataDxfId="11" headerRowBorderDxfId="9" tableBorderDxfId="10">
  <tableColumns count="9">
    <tableColumn id="1" xr3:uid="{00000000-0010-0000-0500-000001000000}" name="Mã Đơn Hàng" dataDxfId="8"/>
    <tableColumn id="2" xr3:uid="{00000000-0010-0000-0500-000002000000}" name="Ngày" dataDxfId="7"/>
    <tableColumn id="9" xr3:uid="{00000000-0010-0000-0500-000009000000}" name="Tháng" dataDxfId="6">
      <calculatedColumnFormula>MONTH(Table1[[#This Row],[Ngày]])</calculatedColumnFormula>
    </tableColumn>
    <tableColumn id="10" xr3:uid="{00000000-0010-0000-0500-00000A000000}" name="Quý" dataDxfId="5">
      <calculatedColumnFormula>ROUNDUP($C2/3, 0)</calculatedColumnFormula>
    </tableColumn>
    <tableColumn id="3" xr3:uid="{00000000-0010-0000-0500-000003000000}" name="Khách hàng" dataDxfId="4"/>
    <tableColumn id="4" xr3:uid="{00000000-0010-0000-0500-000004000000}" name="Mã Sản phẩm" dataDxfId="3"/>
    <tableColumn id="5" xr3:uid="{00000000-0010-0000-0500-000005000000}" name="Khu vực" dataDxfId="2"/>
    <tableColumn id="6" xr3:uid="{00000000-0010-0000-0500-000006000000}" name="Số lượng" dataDxfId="1"/>
    <tableColumn id="8" xr3:uid="{BC286EA4-3313-4651-B414-3A8CD4502F3F}" name="Doanh thu" dataDxfId="0">
      <calculatedColumnFormula>IF(F2="AS002", H2*350000,
IF(F2="AT001", H2*150000,
IF(F2="QT003", H2*500000, 0)))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07/relationships/slicer" Target="../slicers/slicer1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F4"/>
  <sheetViews>
    <sheetView topLeftCell="Q1" workbookViewId="0">
      <selection activeCell="D11" sqref="D11"/>
    </sheetView>
  </sheetViews>
  <sheetFormatPr defaultColWidth="8.77734375" defaultRowHeight="16.5"/>
  <cols>
    <col min="1" max="1" width="6.77734375" style="36" customWidth="1"/>
    <col min="2" max="2" width="15.109375" style="36" customWidth="1"/>
    <col min="3" max="3" width="7" style="36" customWidth="1"/>
    <col min="4" max="4" width="20.77734375" style="36" customWidth="1"/>
    <col min="5" max="5" width="21.88671875" style="36" customWidth="1"/>
    <col min="6" max="6" width="15.5546875" style="36" customWidth="1"/>
    <col min="7" max="16384" width="8.77734375" style="36"/>
  </cols>
  <sheetData>
    <row r="1" spans="1:6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</row>
    <row r="2" spans="1:6">
      <c r="A2" s="19" t="s">
        <v>6</v>
      </c>
      <c r="B2" s="19" t="s">
        <v>7</v>
      </c>
      <c r="C2" s="19" t="s">
        <v>8</v>
      </c>
      <c r="D2" s="19">
        <v>1.2</v>
      </c>
      <c r="E2" s="19">
        <v>0.5</v>
      </c>
      <c r="F2" s="19">
        <v>150000</v>
      </c>
    </row>
    <row r="3" spans="1:6">
      <c r="A3" s="19" t="s">
        <v>9</v>
      </c>
      <c r="B3" s="19" t="s">
        <v>10</v>
      </c>
      <c r="C3" s="19" t="s">
        <v>8</v>
      </c>
      <c r="D3" s="19">
        <v>1.8</v>
      </c>
      <c r="E3" s="19">
        <v>1.2</v>
      </c>
      <c r="F3" s="19">
        <v>350000</v>
      </c>
    </row>
    <row r="4" spans="1:6">
      <c r="A4" s="19" t="s">
        <v>11</v>
      </c>
      <c r="B4" s="19" t="s">
        <v>12</v>
      </c>
      <c r="C4" s="19" t="s">
        <v>13</v>
      </c>
      <c r="D4" s="19">
        <v>2.5</v>
      </c>
      <c r="E4" s="19">
        <v>2</v>
      </c>
      <c r="F4" s="19">
        <v>500000</v>
      </c>
    </row>
  </sheetData>
  <dataValidations count="3">
    <dataValidation type="list" allowBlank="1" showInputMessage="1" showErrorMessage="1" promptTitle="Note:" prompt="Nhập SKU" sqref="A2:A1048576" xr:uid="{6D2D2CD9-77EA-45D1-9F54-57B3861E77C0}">
      <formula1>"AT001,AS002,QT003"</formula1>
    </dataValidation>
    <dataValidation allowBlank="1" showInputMessage="1" showErrorMessage="1" sqref="A1 C1" xr:uid="{F133BEDD-5F4D-438B-91AF-1A715333AFB0}"/>
    <dataValidation type="list" allowBlank="1" showInputMessage="1" showErrorMessage="1" promptTitle="Note:" prompt="Nhập loại sản phẩm" sqref="C2:C1048576" xr:uid="{683C313D-74DC-4FBC-980E-EF2F99AAD489}">
      <formula1>"Áo,Quần"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4"/>
  <sheetViews>
    <sheetView workbookViewId="0">
      <selection activeCell="C17" sqref="C17"/>
    </sheetView>
  </sheetViews>
  <sheetFormatPr defaultColWidth="8.77734375" defaultRowHeight="16.5"/>
  <cols>
    <col min="1" max="1" width="12.21875" style="36" customWidth="1"/>
    <col min="2" max="2" width="11.5546875" style="36" customWidth="1"/>
    <col min="3" max="3" width="21.21875" style="36" customWidth="1"/>
    <col min="4" max="4" width="23.77734375" style="36" customWidth="1"/>
    <col min="5" max="16384" width="8.77734375" style="36"/>
  </cols>
  <sheetData>
    <row r="1" spans="1:4">
      <c r="A1" s="18" t="s">
        <v>14</v>
      </c>
      <c r="B1" s="18" t="s">
        <v>15</v>
      </c>
      <c r="C1" s="18" t="s">
        <v>16</v>
      </c>
      <c r="D1" s="18" t="s">
        <v>17</v>
      </c>
    </row>
    <row r="2" spans="1:4">
      <c r="A2" s="19" t="s">
        <v>18</v>
      </c>
      <c r="B2" s="19" t="s">
        <v>19</v>
      </c>
      <c r="C2" s="19">
        <v>5000</v>
      </c>
      <c r="D2" s="19">
        <v>10</v>
      </c>
    </row>
    <row r="3" spans="1:4">
      <c r="A3" s="19" t="s">
        <v>20</v>
      </c>
      <c r="B3" s="19" t="s">
        <v>21</v>
      </c>
      <c r="C3" s="19">
        <v>4500</v>
      </c>
      <c r="D3" s="19">
        <v>8</v>
      </c>
    </row>
    <row r="4" spans="1:4">
      <c r="A4" s="19" t="s">
        <v>22</v>
      </c>
      <c r="B4" s="19" t="s">
        <v>23</v>
      </c>
      <c r="C4" s="19">
        <v>4000</v>
      </c>
      <c r="D4" s="19">
        <v>7</v>
      </c>
    </row>
  </sheetData>
  <dataValidations count="3">
    <dataValidation type="list" allowBlank="1" showInputMessage="1" showErrorMessage="1" promptTitle="Note:" prompt="Nhập Factory_ID" sqref="A2:A1048576" xr:uid="{AD5CAFA0-51A5-41B0-B150-427CCE44E088}">
      <formula1>"F1,F2,F3"</formula1>
    </dataValidation>
    <dataValidation allowBlank="1" showInputMessage="1" showErrorMessage="1" sqref="A1 B1" xr:uid="{A0357D18-3139-4EE4-B977-3B1FFD68171F}"/>
    <dataValidation type="list" allowBlank="1" showInputMessage="1" showErrorMessage="1" promptTitle="Note:" prompt="Nhập địa điểm" sqref="B2:B1048576" xr:uid="{360CED05-19BE-44AC-B38B-29621EB9C5A0}">
      <formula1>"TP.HCM,Đồng Nai,Long An"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C8"/>
  <sheetViews>
    <sheetView workbookViewId="0">
      <selection activeCell="E13" sqref="E13"/>
    </sheetView>
  </sheetViews>
  <sheetFormatPr defaultRowHeight="16.5"/>
  <cols>
    <col min="1" max="1" width="8.77734375" style="2"/>
    <col min="2" max="2" width="12.5546875" customWidth="1"/>
    <col min="3" max="3" width="20.77734375" customWidth="1"/>
  </cols>
  <sheetData>
    <row r="1" spans="1:3">
      <c r="A1" s="20" t="s">
        <v>24</v>
      </c>
      <c r="B1" s="20" t="s">
        <v>25</v>
      </c>
      <c r="C1" s="20" t="s">
        <v>26</v>
      </c>
    </row>
    <row r="2" spans="1:3">
      <c r="A2" s="21" t="s">
        <v>18</v>
      </c>
      <c r="B2" s="21" t="s">
        <v>27</v>
      </c>
      <c r="C2" s="21">
        <v>15000</v>
      </c>
    </row>
    <row r="3" spans="1:3">
      <c r="A3" s="21" t="s">
        <v>18</v>
      </c>
      <c r="B3" s="21" t="s">
        <v>28</v>
      </c>
      <c r="C3" s="21">
        <v>5000</v>
      </c>
    </row>
    <row r="4" spans="1:3">
      <c r="A4" s="21" t="s">
        <v>20</v>
      </c>
      <c r="B4" s="21" t="s">
        <v>27</v>
      </c>
      <c r="C4" s="21">
        <v>16000</v>
      </c>
    </row>
    <row r="5" spans="1:3">
      <c r="A5" s="21" t="s">
        <v>20</v>
      </c>
      <c r="B5" s="21" t="s">
        <v>28</v>
      </c>
      <c r="C5" s="21">
        <v>6000</v>
      </c>
    </row>
    <row r="6" spans="1:3">
      <c r="A6" s="21" t="s">
        <v>22</v>
      </c>
      <c r="B6" s="21" t="s">
        <v>27</v>
      </c>
      <c r="C6" s="21">
        <v>17000</v>
      </c>
    </row>
    <row r="7" spans="1:3">
      <c r="A7" s="21" t="s">
        <v>22</v>
      </c>
      <c r="B7" s="21" t="s">
        <v>28</v>
      </c>
      <c r="C7" s="21">
        <v>7000</v>
      </c>
    </row>
    <row r="8" spans="1:3">
      <c r="A8" s="3"/>
      <c r="B8" s="5"/>
    </row>
  </sheetData>
  <dataValidations count="2">
    <dataValidation type="list" allowBlank="1" showInputMessage="1" showErrorMessage="1" promptTitle="Note:" prompt="Nhập điểm đến " sqref="B2:B1048576" xr:uid="{00000000-0002-0000-0200-000000000000}">
      <formula1>"North,South"</formula1>
    </dataValidation>
    <dataValidation allowBlank="1" showInputMessage="1" showErrorMessage="1" sqref="A1:C1" xr:uid="{00000000-0002-0000-0200-000001000000}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arning" error="Nhập Factory_ID từ danh sách Factory_Capacity" promptTitle="Note:" prompt="Nhập Factory_ID từ danh sách Factory_Capacity" xr:uid="{00000000-0002-0000-0200-000002000000}">
          <x14:formula1>
            <xm:f>Factory_Capacity!$A$2:$A$4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8" tint="0.79998168889431442"/>
  </sheetPr>
  <dimension ref="A1:C7"/>
  <sheetViews>
    <sheetView workbookViewId="0">
      <selection activeCell="C23" sqref="C23"/>
    </sheetView>
  </sheetViews>
  <sheetFormatPr defaultColWidth="8.77734375" defaultRowHeight="16.5"/>
  <cols>
    <col min="1" max="2" width="8.77734375" style="2"/>
    <col min="3" max="3" width="20.109375" style="2" customWidth="1"/>
    <col min="4" max="16384" width="8.77734375" style="2"/>
  </cols>
  <sheetData>
    <row r="1" spans="1:3">
      <c r="A1" s="20" t="s">
        <v>0</v>
      </c>
      <c r="B1" s="20" t="s">
        <v>29</v>
      </c>
      <c r="C1" s="20" t="s">
        <v>30</v>
      </c>
    </row>
    <row r="2" spans="1:3">
      <c r="A2" s="22" t="s">
        <v>6</v>
      </c>
      <c r="B2" s="22" t="s">
        <v>27</v>
      </c>
      <c r="C2" s="22">
        <v>1200</v>
      </c>
    </row>
    <row r="3" spans="1:3">
      <c r="A3" s="22" t="s">
        <v>6</v>
      </c>
      <c r="B3" s="22" t="s">
        <v>28</v>
      </c>
      <c r="C3" s="22">
        <v>2500</v>
      </c>
    </row>
    <row r="4" spans="1:3">
      <c r="A4" s="22" t="s">
        <v>9</v>
      </c>
      <c r="B4" s="22" t="s">
        <v>27</v>
      </c>
      <c r="C4" s="22">
        <v>800</v>
      </c>
    </row>
    <row r="5" spans="1:3">
      <c r="A5" s="22" t="s">
        <v>9</v>
      </c>
      <c r="B5" s="22" t="s">
        <v>28</v>
      </c>
      <c r="C5" s="22">
        <v>1500</v>
      </c>
    </row>
    <row r="6" spans="1:3">
      <c r="A6" s="22" t="s">
        <v>11</v>
      </c>
      <c r="B6" s="22" t="s">
        <v>27</v>
      </c>
      <c r="C6" s="22">
        <v>500</v>
      </c>
    </row>
    <row r="7" spans="1:3">
      <c r="A7" s="22" t="s">
        <v>11</v>
      </c>
      <c r="B7" s="22" t="s">
        <v>28</v>
      </c>
      <c r="C7" s="22">
        <v>900</v>
      </c>
    </row>
  </sheetData>
  <dataValidations count="3">
    <dataValidation type="list" allowBlank="1" showInputMessage="1" showErrorMessage="1" promptTitle="Note:" prompt="Nhập khu vực" sqref="B8:B1048576" xr:uid="{00000000-0002-0000-0300-000000000000}">
      <formula1>"North;South"</formula1>
    </dataValidation>
    <dataValidation allowBlank="1" showInputMessage="1" showErrorMessage="1" sqref="A1:C1" xr:uid="{00000000-0002-0000-0300-000001000000}"/>
    <dataValidation type="list" allowBlank="1" showInputMessage="1" showErrorMessage="1" promptTitle="Note:" prompt="Nhập khu vực" sqref="B2:B7" xr:uid="{00000000-0002-0000-0300-000002000000}">
      <formula1>"North,South"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Note:" prompt="Nhập mã sản phẩm" xr:uid="{00000000-0002-0000-0300-000003000000}">
          <x14:formula1>
            <xm:f>Product_BOM!$A$2:$A$4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0000"/>
  </sheetPr>
  <dimension ref="A1:G1"/>
  <sheetViews>
    <sheetView workbookViewId="0">
      <selection activeCell="H15" sqref="H15"/>
    </sheetView>
  </sheetViews>
  <sheetFormatPr defaultColWidth="8.77734375" defaultRowHeight="16.5"/>
  <cols>
    <col min="1" max="1" width="18.77734375" bestFit="1" customWidth="1"/>
    <col min="2" max="2" width="14.77734375" bestFit="1" customWidth="1"/>
    <col min="3" max="3" width="6.21875" bestFit="1" customWidth="1"/>
    <col min="4" max="4" width="8" bestFit="1" customWidth="1"/>
    <col min="5" max="5" width="15.5546875" bestFit="1" customWidth="1"/>
    <col min="6" max="6" width="4.21875" bestFit="1" customWidth="1"/>
    <col min="7" max="7" width="14.109375" bestFit="1" customWidth="1"/>
  </cols>
  <sheetData>
    <row r="1" spans="1:7" s="7" customFormat="1">
      <c r="A1" s="35" t="s">
        <v>31</v>
      </c>
      <c r="B1" s="35" t="s">
        <v>32</v>
      </c>
      <c r="C1" s="35" t="s">
        <v>0</v>
      </c>
      <c r="D1" s="35" t="s">
        <v>33</v>
      </c>
      <c r="E1" s="35" t="s">
        <v>34</v>
      </c>
      <c r="F1" s="35" t="s">
        <v>35</v>
      </c>
      <c r="G1" s="35" t="s">
        <v>36</v>
      </c>
    </row>
  </sheetData>
  <sheetProtection algorithmName="SHA-512" hashValue="d4hFxZeGdbuHhoGg4uMnSqlKyF1odnR6LJQ7bAP7iSHAcgXDDJSGmh8skSUrwder72DiC7OBMjMtu8nX1MwxMA==" saltValue="H8xwMmc1noXpnSWqE4Wvqw==" spinCount="100000" sheet="1" objects="1" scenarios="1"/>
  <dataValidations count="2">
    <dataValidation type="whole" operator="greaterThanOrEqual" allowBlank="1" showInputMessage="1" showErrorMessage="1" errorTitle="Warning" error="Số cần nhập phải là số nguyên" promptTitle="Note:" prompt="Nhập số lượng" sqref="D1" xr:uid="{00000000-0002-0000-0400-000000000000}">
      <formula1>0</formula1>
    </dataValidation>
    <dataValidation allowBlank="1" showInputMessage="1" showErrorMessage="1" sqref="C1" xr:uid="{00000000-0002-0000-04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oFormInventory">
                <anchor moveWithCells="1" sizeWithCells="1">
                  <from>
                    <xdr:col>7</xdr:col>
                    <xdr:colOff>0</xdr:colOff>
                    <xdr:row>4</xdr:row>
                    <xdr:rowOff>82550</xdr:rowOff>
                  </from>
                  <to>
                    <xdr:col>10</xdr:col>
                    <xdr:colOff>603250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XoaDuLieu">
                <anchor moveWithCells="1" sizeWithCells="1">
                  <from>
                    <xdr:col>11</xdr:col>
                    <xdr:colOff>25400</xdr:colOff>
                    <xdr:row>4</xdr:row>
                    <xdr:rowOff>88900</xdr:rowOff>
                  </from>
                  <to>
                    <xdr:col>14</xdr:col>
                    <xdr:colOff>501650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3000000}">
          <x14:formula1>
            <xm:f>Factory_Capacity!$A$2:$A$4</xm:f>
          </x14:formula1>
          <xm:sqref>F1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0000"/>
  </sheetPr>
  <dimension ref="A1:N4"/>
  <sheetViews>
    <sheetView workbookViewId="0">
      <selection activeCell="C7" sqref="C7"/>
    </sheetView>
  </sheetViews>
  <sheetFormatPr defaultColWidth="8.77734375" defaultRowHeight="14.1"/>
  <cols>
    <col min="1" max="1" width="7.77734375" style="1" customWidth="1"/>
    <col min="2" max="2" width="16.77734375" style="1" customWidth="1"/>
    <col min="3" max="3" width="13.5546875" style="1" customWidth="1"/>
    <col min="4" max="16384" width="8.77734375" style="1"/>
  </cols>
  <sheetData>
    <row r="1" spans="1:14" ht="16.5">
      <c r="A1" s="18" t="s">
        <v>0</v>
      </c>
      <c r="B1" s="18" t="s">
        <v>37</v>
      </c>
      <c r="C1" s="18" t="s">
        <v>38</v>
      </c>
      <c r="N1" s="34"/>
    </row>
    <row r="2" spans="1:14" ht="16.5">
      <c r="A2" s="19" t="s">
        <v>6</v>
      </c>
      <c r="B2" s="19">
        <v>100</v>
      </c>
      <c r="C2" s="19">
        <v>50</v>
      </c>
    </row>
    <row r="3" spans="1:14" ht="16.5">
      <c r="A3" s="19" t="s">
        <v>9</v>
      </c>
      <c r="B3" s="19">
        <v>50</v>
      </c>
      <c r="C3" s="19">
        <v>30</v>
      </c>
    </row>
    <row r="4" spans="1:14" ht="16.5">
      <c r="A4" s="19" t="s">
        <v>11</v>
      </c>
      <c r="B4" s="19">
        <v>30</v>
      </c>
      <c r="C4" s="19">
        <v>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F0"/>
  </sheetPr>
  <dimension ref="A1:AJ521"/>
  <sheetViews>
    <sheetView tabSelected="1" topLeftCell="A460" zoomScale="70" zoomScaleNormal="70" workbookViewId="0">
      <selection activeCell="AF3" sqref="AF3:AG5"/>
    </sheetView>
  </sheetViews>
  <sheetFormatPr defaultRowHeight="16.5"/>
  <cols>
    <col min="1" max="1" width="14.44140625" bestFit="1" customWidth="1"/>
    <col min="2" max="2" width="9.77734375" style="4" bestFit="1" customWidth="1"/>
    <col min="3" max="3" width="10.77734375" customWidth="1"/>
    <col min="4" max="4" width="10.21875" customWidth="1"/>
    <col min="5" max="5" width="13.77734375" customWidth="1"/>
    <col min="6" max="6" width="13.21875" customWidth="1"/>
    <col min="8" max="9" width="12.77734375" style="33" customWidth="1"/>
    <col min="10" max="10" width="10.77734375" customWidth="1"/>
    <col min="11" max="11" width="14.33203125" customWidth="1"/>
    <col min="12" max="12" width="16.33203125" customWidth="1"/>
    <col min="13" max="13" width="15.21875" customWidth="1"/>
    <col min="14" max="14" width="13.21875" customWidth="1"/>
    <col min="15" max="15" width="13.109375" bestFit="1" customWidth="1"/>
    <col min="16" max="16" width="14" customWidth="1"/>
    <col min="17" max="17" width="11.21875" customWidth="1"/>
    <col min="18" max="18" width="10.5546875" customWidth="1"/>
    <col min="19" max="19" width="19.44140625" customWidth="1"/>
    <col min="20" max="20" width="16.33203125" customWidth="1"/>
    <col min="21" max="21" width="15.21875" customWidth="1"/>
    <col min="22" max="22" width="14.33203125" customWidth="1"/>
    <col min="23" max="23" width="23.109375" customWidth="1"/>
    <col min="24" max="24" width="13.109375" bestFit="1" customWidth="1"/>
    <col min="25" max="25" width="9.6640625" bestFit="1" customWidth="1"/>
    <col min="26" max="26" width="15.21875" bestFit="1" customWidth="1"/>
    <col min="27" max="27" width="14.44140625" customWidth="1"/>
    <col min="28" max="28" width="12.33203125" customWidth="1"/>
    <col min="29" max="29" width="13.109375" bestFit="1" customWidth="1"/>
    <col min="30" max="30" width="8.5546875" bestFit="1" customWidth="1"/>
    <col min="31" max="31" width="9.6640625" bestFit="1" customWidth="1"/>
    <col min="32" max="32" width="26.88671875" customWidth="1"/>
    <col min="33" max="34" width="16.33203125" bestFit="1" customWidth="1"/>
    <col min="35" max="35" width="15.21875" bestFit="1" customWidth="1"/>
    <col min="36" max="36" width="6.5546875" bestFit="1" customWidth="1"/>
    <col min="37" max="37" width="6.6640625" bestFit="1" customWidth="1"/>
    <col min="38" max="39" width="9.6640625" bestFit="1" customWidth="1"/>
    <col min="40" max="40" width="16.33203125" customWidth="1"/>
    <col min="41" max="41" width="15.21875" bestFit="1" customWidth="1"/>
    <col min="42" max="42" width="6.5546875" bestFit="1" customWidth="1"/>
    <col min="43" max="43" width="6.6640625" bestFit="1" customWidth="1"/>
    <col min="44" max="44" width="6.77734375" bestFit="1" customWidth="1"/>
    <col min="45" max="45" width="9.6640625" bestFit="1" customWidth="1"/>
    <col min="46" max="46" width="8.44140625" bestFit="1" customWidth="1"/>
    <col min="47" max="47" width="11.44140625" bestFit="1" customWidth="1"/>
    <col min="48" max="48" width="9.6640625" bestFit="1" customWidth="1"/>
  </cols>
  <sheetData>
    <row r="1" spans="1:34">
      <c r="A1" s="14" t="s">
        <v>39</v>
      </c>
      <c r="B1" s="13" t="s">
        <v>40</v>
      </c>
      <c r="C1" s="13" t="s">
        <v>41</v>
      </c>
      <c r="D1" s="13" t="s">
        <v>42</v>
      </c>
      <c r="E1" s="14" t="s">
        <v>43</v>
      </c>
      <c r="F1" s="14" t="s">
        <v>44</v>
      </c>
      <c r="G1" s="12" t="s">
        <v>45</v>
      </c>
      <c r="H1" s="31" t="s">
        <v>33</v>
      </c>
      <c r="I1" s="37" t="s">
        <v>46</v>
      </c>
      <c r="K1" s="49" t="s">
        <v>47</v>
      </c>
      <c r="L1" s="49"/>
      <c r="M1" s="49"/>
      <c r="N1" s="49"/>
      <c r="O1" s="49"/>
      <c r="P1" s="49"/>
      <c r="S1" s="50" t="s">
        <v>48</v>
      </c>
      <c r="T1" s="50"/>
      <c r="U1" s="50"/>
      <c r="V1" s="50"/>
      <c r="W1" s="50"/>
      <c r="X1" s="50"/>
      <c r="Y1" s="50"/>
      <c r="Z1" s="50"/>
      <c r="AA1" s="50"/>
      <c r="AC1" s="47" t="s">
        <v>49</v>
      </c>
      <c r="AD1" s="47"/>
      <c r="AE1" s="47"/>
      <c r="AF1" s="47"/>
      <c r="AG1" s="47"/>
      <c r="AH1" s="47"/>
    </row>
    <row r="2" spans="1:34">
      <c r="A2" s="11" t="s">
        <v>50</v>
      </c>
      <c r="B2" s="10">
        <v>45664</v>
      </c>
      <c r="C2" s="11">
        <f>MONTH(Table1[[#This Row],[Ngày]])</f>
        <v>1</v>
      </c>
      <c r="D2" s="11">
        <f t="shared" ref="D2:D33" si="0">ROUNDUP($C2/3, 0)</f>
        <v>1</v>
      </c>
      <c r="E2" s="9" t="s">
        <v>51</v>
      </c>
      <c r="F2" s="9" t="s">
        <v>9</v>
      </c>
      <c r="G2" s="11" t="s">
        <v>27</v>
      </c>
      <c r="H2" s="32">
        <v>25</v>
      </c>
      <c r="I2" s="38">
        <f>IF(F2="AS002", H2*350000,
IF(F2="AT001", H2*150000,
IF(F2="QT003", H2*500000, 0)))</f>
        <v>8750000</v>
      </c>
      <c r="K2" s="48" t="s">
        <v>52</v>
      </c>
      <c r="L2" s="48"/>
      <c r="M2" s="48"/>
      <c r="N2" s="48"/>
      <c r="S2" s="39" t="s">
        <v>44</v>
      </c>
      <c r="T2" s="39" t="s">
        <v>45</v>
      </c>
      <c r="U2" s="40" t="s">
        <v>41</v>
      </c>
      <c r="V2" s="39" t="s">
        <v>43</v>
      </c>
      <c r="W2" s="11"/>
      <c r="X2" s="11"/>
      <c r="Y2" s="11"/>
      <c r="Z2" s="11"/>
      <c r="AE2" s="15"/>
      <c r="AF2" s="29" t="s">
        <v>53</v>
      </c>
    </row>
    <row r="3" spans="1:34">
      <c r="A3" s="11" t="s">
        <v>54</v>
      </c>
      <c r="B3" s="10">
        <v>45695</v>
      </c>
      <c r="C3" s="11">
        <f>MONTH(Table1[[#This Row],[Ngày]])</f>
        <v>2</v>
      </c>
      <c r="D3" s="11">
        <f t="shared" si="0"/>
        <v>1</v>
      </c>
      <c r="E3" s="9" t="s">
        <v>55</v>
      </c>
      <c r="F3" s="11" t="s">
        <v>9</v>
      </c>
      <c r="G3" s="11" t="s">
        <v>27</v>
      </c>
      <c r="H3" s="32">
        <v>17</v>
      </c>
      <c r="I3" s="38">
        <f>IF(F3="AS002", H3*350000,
IF(F3="AT001", H3*150000,
IF(F3="QT003", H3*500000, 0)))</f>
        <v>5950000</v>
      </c>
      <c r="K3" s="26" t="s">
        <v>44</v>
      </c>
      <c r="L3" s="26" t="s">
        <v>56</v>
      </c>
      <c r="M3" s="26" t="s">
        <v>57</v>
      </c>
      <c r="N3" s="15"/>
      <c r="S3" s="24"/>
      <c r="T3" s="24"/>
      <c r="U3" s="8"/>
      <c r="V3" s="24"/>
      <c r="W3" s="11"/>
      <c r="X3" s="11"/>
      <c r="Y3" s="11"/>
      <c r="Z3" s="11"/>
      <c r="AC3" s="42" t="s">
        <v>44</v>
      </c>
      <c r="AD3" s="42" t="s">
        <v>33</v>
      </c>
      <c r="AF3" s="43" t="s">
        <v>45</v>
      </c>
      <c r="AG3" s="44" t="s">
        <v>33</v>
      </c>
    </row>
    <row r="4" spans="1:34">
      <c r="A4" s="11" t="s">
        <v>58</v>
      </c>
      <c r="B4" s="10">
        <v>45669</v>
      </c>
      <c r="C4" s="11">
        <f>MONTH(Table1[[#This Row],[Ngày]])</f>
        <v>1</v>
      </c>
      <c r="D4" s="11">
        <f t="shared" si="0"/>
        <v>1</v>
      </c>
      <c r="E4" s="11" t="s">
        <v>59</v>
      </c>
      <c r="F4" s="9" t="s">
        <v>9</v>
      </c>
      <c r="G4" s="11" t="s">
        <v>27</v>
      </c>
      <c r="H4" s="32">
        <v>99</v>
      </c>
      <c r="I4" s="38">
        <f t="shared" ref="I4:I65" si="1">IF(F4="AS002", H4*350000,
IF(F4="AT001", H4*150000,
IF(F4="QT003", H4*500000, 0)))</f>
        <v>34650000</v>
      </c>
      <c r="K4" s="24" t="s">
        <v>9</v>
      </c>
      <c r="L4" s="8">
        <f>DSUM(Mytable,"Số Lượng",K3:K4)</f>
        <v>8084</v>
      </c>
      <c r="M4" s="23">
        <f>DAVERAGE( Mytable,"số lượng",K3:K4)</f>
        <v>51.490445859872608</v>
      </c>
      <c r="S4" s="11"/>
      <c r="T4" s="10"/>
      <c r="U4" s="11"/>
      <c r="V4" s="11"/>
      <c r="W4" s="11"/>
      <c r="X4" s="11"/>
      <c r="Y4" s="11"/>
      <c r="Z4" s="11"/>
      <c r="AC4" s="9"/>
      <c r="AD4" s="32"/>
      <c r="AF4" s="24" t="s">
        <v>27</v>
      </c>
      <c r="AG4" s="23">
        <v>12808</v>
      </c>
    </row>
    <row r="5" spans="1:34" ht="16.899999999999999" customHeight="1">
      <c r="A5" s="11" t="s">
        <v>60</v>
      </c>
      <c r="B5" s="10">
        <v>45695</v>
      </c>
      <c r="C5" s="11">
        <f>MONTH(Table1[[#This Row],[Ngày]])</f>
        <v>2</v>
      </c>
      <c r="D5" s="11">
        <f t="shared" si="0"/>
        <v>1</v>
      </c>
      <c r="E5" s="11" t="s">
        <v>61</v>
      </c>
      <c r="F5" s="11" t="s">
        <v>11</v>
      </c>
      <c r="G5" s="11" t="s">
        <v>28</v>
      </c>
      <c r="H5" s="32">
        <v>65</v>
      </c>
      <c r="I5" s="38">
        <f t="shared" si="1"/>
        <v>32500000</v>
      </c>
      <c r="K5" s="5" t="s">
        <v>62</v>
      </c>
      <c r="M5" s="5"/>
      <c r="N5" s="5"/>
      <c r="S5" s="39" t="s">
        <v>39</v>
      </c>
      <c r="T5" s="40" t="s">
        <v>40</v>
      </c>
      <c r="U5" s="40" t="s">
        <v>41</v>
      </c>
      <c r="V5" s="40" t="s">
        <v>42</v>
      </c>
      <c r="W5" s="39" t="s">
        <v>43</v>
      </c>
      <c r="X5" s="39" t="s">
        <v>44</v>
      </c>
      <c r="Y5" s="39" t="s">
        <v>45</v>
      </c>
      <c r="Z5" s="41" t="s">
        <v>33</v>
      </c>
      <c r="AA5" s="45" t="s">
        <v>46</v>
      </c>
      <c r="AC5" s="11"/>
      <c r="AD5" s="32"/>
      <c r="AF5" s="24" t="s">
        <v>28</v>
      </c>
      <c r="AG5" s="23">
        <v>13079</v>
      </c>
    </row>
    <row r="6" spans="1:34">
      <c r="A6" s="11" t="s">
        <v>63</v>
      </c>
      <c r="B6" s="10">
        <v>45696</v>
      </c>
      <c r="C6" s="11">
        <f>MONTH(Table1[[#This Row],[Ngày]])</f>
        <v>2</v>
      </c>
      <c r="D6" s="11">
        <f t="shared" si="0"/>
        <v>1</v>
      </c>
      <c r="E6" s="11" t="s">
        <v>64</v>
      </c>
      <c r="F6" s="11" t="s">
        <v>11</v>
      </c>
      <c r="G6" s="11" t="s">
        <v>27</v>
      </c>
      <c r="H6" s="32">
        <v>45</v>
      </c>
      <c r="I6" s="38">
        <f>IF(F6="AS002", H6*350000,
IF(F6="AT001", H6*150000,
IF(F6="QT003", H6*500000, 0)))</f>
        <v>22500000</v>
      </c>
      <c r="K6" s="27" t="s">
        <v>41</v>
      </c>
      <c r="L6" s="26" t="s">
        <v>56</v>
      </c>
      <c r="M6" s="26" t="s">
        <v>57</v>
      </c>
      <c r="S6" s="11"/>
      <c r="T6" s="10"/>
      <c r="U6" s="11"/>
      <c r="V6" s="11"/>
      <c r="W6" s="9"/>
      <c r="X6" s="9"/>
      <c r="Y6" s="11"/>
      <c r="Z6" s="32"/>
      <c r="AA6" s="38"/>
      <c r="AC6" s="11"/>
      <c r="AD6" s="32"/>
      <c r="AF6" s="46" t="s">
        <v>65</v>
      </c>
    </row>
    <row r="7" spans="1:34">
      <c r="A7" s="11" t="s">
        <v>66</v>
      </c>
      <c r="B7" s="10">
        <v>45671</v>
      </c>
      <c r="C7" s="11">
        <f>MONTH(Table1[[#This Row],[Ngày]])</f>
        <v>1</v>
      </c>
      <c r="D7" s="11">
        <f t="shared" si="0"/>
        <v>1</v>
      </c>
      <c r="E7" s="11" t="s">
        <v>64</v>
      </c>
      <c r="F7" s="9" t="s">
        <v>11</v>
      </c>
      <c r="G7" s="11" t="s">
        <v>27</v>
      </c>
      <c r="H7" s="32">
        <v>77</v>
      </c>
      <c r="I7" s="38">
        <f t="shared" si="1"/>
        <v>38500000</v>
      </c>
      <c r="K7" s="24">
        <v>1</v>
      </c>
      <c r="L7" s="8">
        <f>DSUM(Mytable,"số lượng",$K$6:$K$7)</f>
        <v>12925</v>
      </c>
      <c r="M7" s="23">
        <f>DAVERAGE(Mytable,"số lượng",$K$6:$K$7)</f>
        <v>54.306722689075627</v>
      </c>
      <c r="S7" s="11"/>
      <c r="T7" s="10"/>
      <c r="U7" s="11"/>
      <c r="V7" s="11"/>
      <c r="W7" s="9"/>
      <c r="X7" s="11"/>
      <c r="Y7" s="11"/>
      <c r="Z7" s="32"/>
      <c r="AA7" s="38"/>
      <c r="AC7" s="11"/>
      <c r="AD7" s="32"/>
      <c r="AF7" s="42" t="s">
        <v>44</v>
      </c>
      <c r="AG7" s="42" t="s">
        <v>33</v>
      </c>
    </row>
    <row r="8" spans="1:34">
      <c r="A8" s="11" t="s">
        <v>67</v>
      </c>
      <c r="B8" s="10">
        <v>45691</v>
      </c>
      <c r="C8" s="11">
        <f>MONTH(Table1[[#This Row],[Ngày]])</f>
        <v>2</v>
      </c>
      <c r="D8" s="11">
        <f t="shared" si="0"/>
        <v>1</v>
      </c>
      <c r="E8" s="11" t="s">
        <v>59</v>
      </c>
      <c r="F8" s="11" t="s">
        <v>6</v>
      </c>
      <c r="G8" s="11" t="s">
        <v>28</v>
      </c>
      <c r="H8" s="32">
        <v>62</v>
      </c>
      <c r="I8" s="38">
        <f t="shared" si="1"/>
        <v>9300000</v>
      </c>
      <c r="K8" s="48" t="s">
        <v>68</v>
      </c>
      <c r="L8" s="48"/>
      <c r="M8" s="48"/>
      <c r="N8" s="48"/>
      <c r="S8" s="11"/>
      <c r="T8" s="10"/>
      <c r="U8" s="11"/>
      <c r="V8" s="11"/>
      <c r="W8" s="11"/>
      <c r="X8" s="9"/>
      <c r="Y8" s="11"/>
      <c r="Z8" s="32"/>
      <c r="AA8" s="38"/>
      <c r="AC8" s="11"/>
      <c r="AD8" s="32"/>
      <c r="AF8" s="24" t="s">
        <v>9</v>
      </c>
      <c r="AG8" s="23">
        <v>3780</v>
      </c>
    </row>
    <row r="9" spans="1:34">
      <c r="A9" s="11" t="s">
        <v>69</v>
      </c>
      <c r="B9" s="10">
        <v>45707</v>
      </c>
      <c r="C9" s="11">
        <f>MONTH(Table1[[#This Row],[Ngày]])</f>
        <v>2</v>
      </c>
      <c r="D9" s="11">
        <f t="shared" si="0"/>
        <v>1</v>
      </c>
      <c r="E9" s="11" t="s">
        <v>51</v>
      </c>
      <c r="F9" s="11" t="s">
        <v>9</v>
      </c>
      <c r="G9" s="11" t="s">
        <v>27</v>
      </c>
      <c r="H9" s="32">
        <v>29</v>
      </c>
      <c r="I9" s="38">
        <f t="shared" si="1"/>
        <v>10150000</v>
      </c>
      <c r="K9" s="26" t="s">
        <v>45</v>
      </c>
      <c r="L9" s="26" t="s">
        <v>56</v>
      </c>
      <c r="M9" s="26" t="s">
        <v>57</v>
      </c>
      <c r="S9" s="11"/>
      <c r="T9" s="10"/>
      <c r="U9" s="11"/>
      <c r="V9" s="11"/>
      <c r="W9" s="11"/>
      <c r="X9" s="11"/>
      <c r="Y9" s="11"/>
      <c r="Z9" s="32"/>
      <c r="AA9" s="38"/>
      <c r="AC9" s="11"/>
      <c r="AD9" s="32"/>
      <c r="AF9" s="24" t="s">
        <v>11</v>
      </c>
      <c r="AG9" s="23">
        <v>5027</v>
      </c>
    </row>
    <row r="10" spans="1:34">
      <c r="A10" s="11" t="s">
        <v>70</v>
      </c>
      <c r="B10" s="10">
        <v>45670</v>
      </c>
      <c r="C10" s="11">
        <f>MONTH(Table1[[#This Row],[Ngày]])</f>
        <v>1</v>
      </c>
      <c r="D10" s="11">
        <f t="shared" si="0"/>
        <v>1</v>
      </c>
      <c r="E10" s="11" t="s">
        <v>61</v>
      </c>
      <c r="F10" s="11" t="s">
        <v>11</v>
      </c>
      <c r="G10" s="11" t="s">
        <v>27</v>
      </c>
      <c r="H10" s="32">
        <v>42</v>
      </c>
      <c r="I10" s="38">
        <f t="shared" si="1"/>
        <v>21000000</v>
      </c>
      <c r="K10" s="24" t="s">
        <v>27</v>
      </c>
      <c r="L10" s="8">
        <f>DSUM(Mytable,"số lượng",$K$9:$K$10)</f>
        <v>12808</v>
      </c>
      <c r="M10" s="23">
        <f>DAVERAGE(Mytable,"số lượng",$K$9:$K$10)</f>
        <v>52.491803278688522</v>
      </c>
      <c r="S10" s="11"/>
      <c r="T10" s="10"/>
      <c r="U10" s="11"/>
      <c r="V10" s="11"/>
      <c r="W10" s="11"/>
      <c r="X10" s="11"/>
      <c r="Y10" s="11"/>
      <c r="Z10" s="32"/>
      <c r="AA10" s="38"/>
      <c r="AC10" s="11"/>
      <c r="AD10" s="32"/>
      <c r="AF10" s="24" t="s">
        <v>6</v>
      </c>
      <c r="AG10" s="23">
        <v>4001</v>
      </c>
    </row>
    <row r="11" spans="1:34">
      <c r="A11" s="11" t="s">
        <v>71</v>
      </c>
      <c r="B11" s="10">
        <v>45700</v>
      </c>
      <c r="C11" s="11">
        <f>MONTH(Table1[[#This Row],[Ngày]])</f>
        <v>2</v>
      </c>
      <c r="D11" s="11">
        <f t="shared" si="0"/>
        <v>1</v>
      </c>
      <c r="E11" s="11" t="s">
        <v>55</v>
      </c>
      <c r="F11" s="11" t="s">
        <v>6</v>
      </c>
      <c r="G11" s="11" t="s">
        <v>27</v>
      </c>
      <c r="H11" s="32">
        <v>48</v>
      </c>
      <c r="I11" s="38">
        <f t="shared" si="1"/>
        <v>7200000</v>
      </c>
      <c r="K11" s="48" t="s">
        <v>72</v>
      </c>
      <c r="L11" s="48"/>
      <c r="M11" s="48"/>
      <c r="N11" s="48"/>
      <c r="S11" s="11"/>
      <c r="T11" s="10"/>
      <c r="U11" s="11"/>
      <c r="V11" s="11"/>
      <c r="W11" s="11"/>
      <c r="X11" s="11"/>
      <c r="Y11" s="11"/>
      <c r="Z11" s="32"/>
      <c r="AA11" s="38"/>
      <c r="AC11" s="11"/>
      <c r="AD11" s="32"/>
      <c r="AF11" s="46" t="s">
        <v>73</v>
      </c>
    </row>
    <row r="12" spans="1:34">
      <c r="A12" s="11" t="s">
        <v>74</v>
      </c>
      <c r="B12" s="10">
        <v>45712</v>
      </c>
      <c r="C12" s="11">
        <f>MONTH(Table1[[#This Row],[Ngày]])</f>
        <v>2</v>
      </c>
      <c r="D12" s="11">
        <f t="shared" si="0"/>
        <v>1</v>
      </c>
      <c r="E12" s="11" t="s">
        <v>55</v>
      </c>
      <c r="F12" s="11" t="s">
        <v>9</v>
      </c>
      <c r="G12" s="11" t="s">
        <v>27</v>
      </c>
      <c r="H12" s="32">
        <v>24</v>
      </c>
      <c r="I12" s="38">
        <f t="shared" si="1"/>
        <v>8400000</v>
      </c>
      <c r="K12" s="26" t="s">
        <v>43</v>
      </c>
      <c r="L12" s="26" t="s">
        <v>56</v>
      </c>
      <c r="M12" s="26" t="s">
        <v>57</v>
      </c>
      <c r="S12" s="11"/>
      <c r="T12" s="10"/>
      <c r="U12" s="11"/>
      <c r="V12" s="11"/>
      <c r="W12" s="11"/>
      <c r="X12" s="11"/>
      <c r="Y12" s="11"/>
      <c r="Z12" s="32"/>
      <c r="AA12" s="38"/>
      <c r="AC12" s="11"/>
      <c r="AD12" s="32"/>
      <c r="AF12" s="42" t="s">
        <v>44</v>
      </c>
      <c r="AG12" s="42" t="s">
        <v>33</v>
      </c>
    </row>
    <row r="13" spans="1:34">
      <c r="A13" s="11" t="s">
        <v>75</v>
      </c>
      <c r="B13" s="10">
        <v>45689</v>
      </c>
      <c r="C13" s="11">
        <f>MONTH(Table1[[#This Row],[Ngày]])</f>
        <v>2</v>
      </c>
      <c r="D13" s="11">
        <f t="shared" si="0"/>
        <v>1</v>
      </c>
      <c r="E13" s="11" t="s">
        <v>51</v>
      </c>
      <c r="F13" s="11" t="s">
        <v>11</v>
      </c>
      <c r="G13" s="11" t="s">
        <v>27</v>
      </c>
      <c r="H13" s="32">
        <v>49</v>
      </c>
      <c r="I13" s="38">
        <f t="shared" si="1"/>
        <v>24500000</v>
      </c>
      <c r="K13" s="24" t="s">
        <v>51</v>
      </c>
      <c r="L13" s="8">
        <f>DSUM(Mytable,"số lượng",K12:K13)</f>
        <v>5851</v>
      </c>
      <c r="M13" s="23">
        <f>DAVERAGE(Mytable,"số lượng",K12:K13)</f>
        <v>56.259615384615387</v>
      </c>
      <c r="S13" s="11"/>
      <c r="T13" s="10"/>
      <c r="U13" s="11"/>
      <c r="V13" s="11"/>
      <c r="W13" s="11"/>
      <c r="X13" s="11"/>
      <c r="Y13" s="11"/>
      <c r="Z13" s="32"/>
      <c r="AA13" s="38"/>
      <c r="AC13" s="11"/>
      <c r="AD13" s="32"/>
      <c r="AF13" s="24" t="s">
        <v>11</v>
      </c>
      <c r="AG13" s="8">
        <v>3892</v>
      </c>
    </row>
    <row r="14" spans="1:34">
      <c r="A14" s="11" t="s">
        <v>76</v>
      </c>
      <c r="B14" s="10">
        <v>45688</v>
      </c>
      <c r="C14" s="11">
        <f>MONTH(Table1[[#This Row],[Ngày]])</f>
        <v>1</v>
      </c>
      <c r="D14" s="11">
        <f t="shared" si="0"/>
        <v>1</v>
      </c>
      <c r="E14" s="11" t="s">
        <v>61</v>
      </c>
      <c r="F14" s="11" t="s">
        <v>11</v>
      </c>
      <c r="G14" s="11" t="s">
        <v>27</v>
      </c>
      <c r="H14" s="32">
        <v>26</v>
      </c>
      <c r="I14" s="38">
        <f t="shared" si="1"/>
        <v>13000000</v>
      </c>
      <c r="K14" s="48" t="s">
        <v>77</v>
      </c>
      <c r="L14" s="48"/>
      <c r="M14" s="48"/>
      <c r="N14" s="48"/>
      <c r="O14" s="48"/>
      <c r="S14" s="11"/>
      <c r="T14" s="10"/>
      <c r="U14" s="11"/>
      <c r="V14" s="11"/>
      <c r="W14" s="11"/>
      <c r="X14" s="11"/>
      <c r="Y14" s="11"/>
      <c r="Z14" s="32"/>
      <c r="AA14" s="38"/>
      <c r="AC14" s="11"/>
      <c r="AD14" s="32"/>
      <c r="AF14" s="24" t="s">
        <v>6</v>
      </c>
      <c r="AG14" s="8">
        <v>4883</v>
      </c>
    </row>
    <row r="15" spans="1:34">
      <c r="A15" s="11" t="s">
        <v>78</v>
      </c>
      <c r="B15" s="10">
        <v>45708</v>
      </c>
      <c r="C15" s="11">
        <f>MONTH(Table1[[#This Row],[Ngày]])</f>
        <v>2</v>
      </c>
      <c r="D15" s="11">
        <f t="shared" si="0"/>
        <v>1</v>
      </c>
      <c r="E15" s="11" t="s">
        <v>51</v>
      </c>
      <c r="F15" s="11" t="s">
        <v>9</v>
      </c>
      <c r="G15" s="11" t="s">
        <v>28</v>
      </c>
      <c r="H15" s="32">
        <v>44</v>
      </c>
      <c r="I15" s="38">
        <f t="shared" si="1"/>
        <v>15400000</v>
      </c>
      <c r="K15" s="26" t="s">
        <v>44</v>
      </c>
      <c r="L15" s="26" t="s">
        <v>45</v>
      </c>
      <c r="M15" s="26" t="s">
        <v>56</v>
      </c>
      <c r="N15" s="26" t="s">
        <v>57</v>
      </c>
      <c r="S15" s="11"/>
      <c r="T15" s="10"/>
      <c r="U15" s="11"/>
      <c r="V15" s="11"/>
      <c r="W15" s="11"/>
      <c r="X15" s="11"/>
      <c r="Y15" s="11"/>
      <c r="Z15" s="32"/>
      <c r="AA15" s="38"/>
      <c r="AC15" s="11"/>
      <c r="AD15" s="32"/>
      <c r="AF15" s="24" t="s">
        <v>9</v>
      </c>
      <c r="AG15" s="8">
        <v>4304</v>
      </c>
    </row>
    <row r="16" spans="1:34">
      <c r="A16" s="11" t="s">
        <v>79</v>
      </c>
      <c r="B16" s="10">
        <v>45687</v>
      </c>
      <c r="C16" s="11">
        <f>MONTH(Table1[[#This Row],[Ngày]])</f>
        <v>1</v>
      </c>
      <c r="D16" s="11">
        <f t="shared" si="0"/>
        <v>1</v>
      </c>
      <c r="E16" s="11" t="s">
        <v>51</v>
      </c>
      <c r="F16" s="11" t="s">
        <v>6</v>
      </c>
      <c r="G16" s="11" t="s">
        <v>28</v>
      </c>
      <c r="H16" s="32">
        <v>79</v>
      </c>
      <c r="I16" s="38">
        <f t="shared" si="1"/>
        <v>11850000</v>
      </c>
      <c r="K16" s="24" t="s">
        <v>6</v>
      </c>
      <c r="L16" s="24" t="s">
        <v>27</v>
      </c>
      <c r="M16" s="23">
        <f>DSUM(Mytable,"số lượng",K15:L16)</f>
        <v>4001</v>
      </c>
      <c r="N16" s="23">
        <f>DAVERAGE(Mytable,"số lượng",K15:L16)</f>
        <v>51.294871794871796</v>
      </c>
      <c r="S16" s="11"/>
      <c r="T16" s="10"/>
      <c r="U16" s="11"/>
      <c r="V16" s="11"/>
      <c r="W16" s="11"/>
      <c r="X16" s="11"/>
      <c r="Y16" s="11"/>
      <c r="Z16" s="32"/>
      <c r="AA16" s="38"/>
      <c r="AC16" s="11"/>
      <c r="AD16" s="32"/>
    </row>
    <row r="17" spans="1:30">
      <c r="A17" s="11" t="s">
        <v>80</v>
      </c>
      <c r="B17" s="10">
        <v>45717</v>
      </c>
      <c r="C17" s="11">
        <f>MONTH(Table1[[#This Row],[Ngày]])</f>
        <v>3</v>
      </c>
      <c r="D17" s="11">
        <f t="shared" si="0"/>
        <v>1</v>
      </c>
      <c r="E17" s="11" t="s">
        <v>51</v>
      </c>
      <c r="F17" s="11" t="s">
        <v>6</v>
      </c>
      <c r="G17" s="11" t="s">
        <v>28</v>
      </c>
      <c r="H17" s="32">
        <v>50</v>
      </c>
      <c r="I17" s="38">
        <f t="shared" si="1"/>
        <v>7500000</v>
      </c>
      <c r="K17" s="48" t="s">
        <v>81</v>
      </c>
      <c r="L17" s="48"/>
      <c r="M17" s="48"/>
      <c r="N17" s="48"/>
      <c r="O17" s="48"/>
      <c r="S17" s="11"/>
      <c r="T17" s="10"/>
      <c r="U17" s="11"/>
      <c r="V17" s="11"/>
      <c r="W17" s="11"/>
      <c r="X17" s="11"/>
      <c r="Y17" s="11"/>
      <c r="Z17" s="32"/>
      <c r="AA17" s="38"/>
      <c r="AC17" s="11"/>
      <c r="AD17" s="32"/>
    </row>
    <row r="18" spans="1:30">
      <c r="A18" s="11" t="s">
        <v>82</v>
      </c>
      <c r="B18" s="10">
        <v>45659</v>
      </c>
      <c r="C18" s="11">
        <f>MONTH(Table1[[#This Row],[Ngày]])</f>
        <v>1</v>
      </c>
      <c r="D18" s="11">
        <f t="shared" si="0"/>
        <v>1</v>
      </c>
      <c r="E18" s="11" t="s">
        <v>59</v>
      </c>
      <c r="F18" s="11" t="s">
        <v>11</v>
      </c>
      <c r="G18" s="11" t="s">
        <v>27</v>
      </c>
      <c r="H18" s="32">
        <v>51</v>
      </c>
      <c r="I18" s="38">
        <f t="shared" si="1"/>
        <v>25500000</v>
      </c>
      <c r="K18" s="26" t="s">
        <v>44</v>
      </c>
      <c r="L18" s="26" t="s">
        <v>43</v>
      </c>
      <c r="M18" s="26" t="s">
        <v>56</v>
      </c>
      <c r="N18" s="26" t="s">
        <v>57</v>
      </c>
      <c r="S18" s="11"/>
      <c r="T18" s="10"/>
      <c r="U18" s="11"/>
      <c r="V18" s="11"/>
      <c r="W18" s="11"/>
      <c r="X18" s="11"/>
      <c r="Y18" s="11"/>
      <c r="Z18" s="32"/>
      <c r="AA18" s="38"/>
      <c r="AC18" s="11"/>
      <c r="AD18" s="32"/>
    </row>
    <row r="19" spans="1:30">
      <c r="A19" s="11" t="s">
        <v>83</v>
      </c>
      <c r="B19" s="10">
        <v>45662</v>
      </c>
      <c r="C19" s="11">
        <f>MONTH(Table1[[#This Row],[Ngày]])</f>
        <v>1</v>
      </c>
      <c r="D19" s="11">
        <f t="shared" si="0"/>
        <v>1</v>
      </c>
      <c r="E19" s="11" t="s">
        <v>51</v>
      </c>
      <c r="F19" s="11" t="s">
        <v>6</v>
      </c>
      <c r="G19" s="11" t="s">
        <v>28</v>
      </c>
      <c r="H19" s="32">
        <v>60</v>
      </c>
      <c r="I19" s="38">
        <f t="shared" si="1"/>
        <v>9000000</v>
      </c>
      <c r="K19" s="24" t="s">
        <v>9</v>
      </c>
      <c r="L19" s="24" t="s">
        <v>64</v>
      </c>
      <c r="M19" s="8">
        <f>DSUM(Mytable,"số lượng",K18:L19)</f>
        <v>1742</v>
      </c>
      <c r="N19" s="23">
        <f>DAVERAGE(Mytable,"số lượng",K18:L19)</f>
        <v>51.235294117647058</v>
      </c>
      <c r="S19" s="11"/>
      <c r="T19" s="10"/>
      <c r="U19" s="11"/>
      <c r="V19" s="11"/>
      <c r="W19" s="11"/>
      <c r="X19" s="11"/>
      <c r="Y19" s="11"/>
      <c r="Z19" s="32"/>
      <c r="AA19" s="38"/>
      <c r="AC19" s="11"/>
      <c r="AD19" s="32"/>
    </row>
    <row r="20" spans="1:30">
      <c r="A20" s="11" t="s">
        <v>84</v>
      </c>
      <c r="B20" s="10">
        <v>45676</v>
      </c>
      <c r="C20" s="11">
        <f>MONTH(Table1[[#This Row],[Ngày]])</f>
        <v>1</v>
      </c>
      <c r="D20" s="11">
        <f t="shared" si="0"/>
        <v>1</v>
      </c>
      <c r="E20" s="11" t="s">
        <v>59</v>
      </c>
      <c r="F20" s="11" t="s">
        <v>11</v>
      </c>
      <c r="G20" s="11" t="s">
        <v>27</v>
      </c>
      <c r="H20" s="32">
        <v>96</v>
      </c>
      <c r="I20" s="38">
        <f t="shared" si="1"/>
        <v>48000000</v>
      </c>
      <c r="K20" s="48" t="s">
        <v>85</v>
      </c>
      <c r="L20" s="48"/>
      <c r="M20" s="48"/>
      <c r="N20" s="48"/>
      <c r="O20" s="48"/>
      <c r="P20" s="48"/>
      <c r="S20" s="11"/>
      <c r="T20" s="10"/>
      <c r="U20" s="11"/>
      <c r="V20" s="11"/>
      <c r="W20" s="11"/>
      <c r="X20" s="11"/>
      <c r="Y20" s="11"/>
      <c r="Z20" s="32"/>
      <c r="AA20" s="38"/>
      <c r="AC20" s="11"/>
      <c r="AD20" s="32"/>
    </row>
    <row r="21" spans="1:30">
      <c r="A21" s="11" t="s">
        <v>86</v>
      </c>
      <c r="B21" s="10">
        <v>45699</v>
      </c>
      <c r="C21" s="11">
        <f>MONTH(Table1[[#This Row],[Ngày]])</f>
        <v>2</v>
      </c>
      <c r="D21" s="11">
        <f t="shared" si="0"/>
        <v>1</v>
      </c>
      <c r="E21" s="11" t="s">
        <v>61</v>
      </c>
      <c r="F21" s="11" t="s">
        <v>9</v>
      </c>
      <c r="G21" s="11" t="s">
        <v>27</v>
      </c>
      <c r="H21" s="32">
        <v>31</v>
      </c>
      <c r="I21" s="38">
        <f t="shared" si="1"/>
        <v>10850000</v>
      </c>
      <c r="K21" s="26" t="s">
        <v>44</v>
      </c>
      <c r="L21" s="27" t="s">
        <v>41</v>
      </c>
      <c r="M21" s="26" t="s">
        <v>56</v>
      </c>
      <c r="N21" s="26" t="s">
        <v>57</v>
      </c>
      <c r="O21" s="25"/>
      <c r="P21" s="25"/>
      <c r="Q21" s="25"/>
      <c r="R21" s="25"/>
      <c r="S21" s="11"/>
      <c r="T21" s="10"/>
      <c r="U21" s="11"/>
      <c r="V21" s="11"/>
      <c r="W21" s="11"/>
      <c r="X21" s="11"/>
      <c r="Y21" s="11"/>
      <c r="Z21" s="32"/>
      <c r="AA21" s="38"/>
      <c r="AC21" s="11"/>
      <c r="AD21" s="32"/>
    </row>
    <row r="22" spans="1:30">
      <c r="A22" s="11" t="s">
        <v>87</v>
      </c>
      <c r="B22" s="10">
        <v>45706</v>
      </c>
      <c r="C22" s="11">
        <f>MONTH(Table1[[#This Row],[Ngày]])</f>
        <v>2</v>
      </c>
      <c r="D22" s="11">
        <f t="shared" si="0"/>
        <v>1</v>
      </c>
      <c r="E22" s="11" t="s">
        <v>64</v>
      </c>
      <c r="F22" s="11" t="s">
        <v>9</v>
      </c>
      <c r="G22" s="11" t="s">
        <v>28</v>
      </c>
      <c r="H22" s="32">
        <v>23</v>
      </c>
      <c r="I22" s="38">
        <f t="shared" si="1"/>
        <v>8050000</v>
      </c>
      <c r="K22" s="24" t="s">
        <v>6</v>
      </c>
      <c r="L22" s="24">
        <v>1</v>
      </c>
      <c r="M22" s="28">
        <f>DSUM(Mytable,"số lượng",K21:L22)</f>
        <v>4730</v>
      </c>
      <c r="N22" s="30">
        <f>DAVERAGE(Mytable,"số lượng",K21:L22)</f>
        <v>53.75</v>
      </c>
      <c r="O22" s="11"/>
      <c r="P22" s="11"/>
      <c r="Q22" s="11"/>
      <c r="R22" s="11"/>
      <c r="S22" s="11"/>
      <c r="T22" s="10"/>
      <c r="U22" s="11"/>
      <c r="V22" s="11"/>
      <c r="W22" s="11"/>
      <c r="X22" s="11"/>
      <c r="Y22" s="11"/>
      <c r="Z22" s="32"/>
      <c r="AA22" s="38"/>
      <c r="AC22" s="11"/>
      <c r="AD22" s="32"/>
    </row>
    <row r="23" spans="1:30">
      <c r="A23" s="11" t="s">
        <v>88</v>
      </c>
      <c r="B23" s="10">
        <v>45672</v>
      </c>
      <c r="C23" s="11">
        <f>MONTH(Table1[[#This Row],[Ngày]])</f>
        <v>1</v>
      </c>
      <c r="D23" s="11">
        <f t="shared" si="0"/>
        <v>1</v>
      </c>
      <c r="E23" s="11" t="s">
        <v>59</v>
      </c>
      <c r="F23" s="11" t="s">
        <v>11</v>
      </c>
      <c r="G23" s="11" t="s">
        <v>28</v>
      </c>
      <c r="H23" s="32">
        <v>93</v>
      </c>
      <c r="I23" s="38">
        <f t="shared" si="1"/>
        <v>46500000</v>
      </c>
      <c r="K23" s="11" t="s">
        <v>89</v>
      </c>
      <c r="L23" s="10"/>
      <c r="M23" s="11"/>
      <c r="N23" s="11"/>
      <c r="O23" s="11"/>
      <c r="P23" s="11"/>
      <c r="Q23" s="11"/>
      <c r="R23" s="11"/>
      <c r="S23" s="11"/>
      <c r="T23" s="10"/>
      <c r="U23" s="11"/>
      <c r="V23" s="11"/>
      <c r="W23" s="11"/>
      <c r="X23" s="11"/>
      <c r="Y23" s="11"/>
      <c r="Z23" s="32"/>
      <c r="AA23" s="38"/>
      <c r="AC23" s="11"/>
      <c r="AD23" s="32"/>
    </row>
    <row r="24" spans="1:30">
      <c r="A24" s="11" t="s">
        <v>90</v>
      </c>
      <c r="B24" s="10">
        <v>45673</v>
      </c>
      <c r="C24" s="11">
        <f>MONTH(Table1[[#This Row],[Ngày]])</f>
        <v>1</v>
      </c>
      <c r="D24" s="11">
        <f t="shared" si="0"/>
        <v>1</v>
      </c>
      <c r="E24" s="11" t="s">
        <v>55</v>
      </c>
      <c r="F24" s="11" t="s">
        <v>11</v>
      </c>
      <c r="G24" s="11" t="s">
        <v>28</v>
      </c>
      <c r="H24" s="32">
        <v>66</v>
      </c>
      <c r="I24" s="38">
        <f t="shared" si="1"/>
        <v>33000000</v>
      </c>
      <c r="K24" s="26" t="s">
        <v>44</v>
      </c>
      <c r="L24" s="26" t="s">
        <v>45</v>
      </c>
      <c r="M24" s="26" t="s">
        <v>43</v>
      </c>
      <c r="N24" s="26" t="s">
        <v>56</v>
      </c>
      <c r="O24" s="26" t="s">
        <v>57</v>
      </c>
      <c r="S24" s="11"/>
      <c r="T24" s="10"/>
      <c r="U24" s="11"/>
      <c r="V24" s="11"/>
      <c r="W24" s="11"/>
      <c r="X24" s="11"/>
      <c r="Y24" s="11"/>
      <c r="Z24" s="32"/>
      <c r="AA24" s="38"/>
      <c r="AC24" s="11"/>
      <c r="AD24" s="32"/>
    </row>
    <row r="25" spans="1:30">
      <c r="A25" s="11" t="s">
        <v>91</v>
      </c>
      <c r="B25" s="10">
        <v>45664</v>
      </c>
      <c r="C25" s="11">
        <f>MONTH(Table1[[#This Row],[Ngày]])</f>
        <v>1</v>
      </c>
      <c r="D25" s="11">
        <f t="shared" si="0"/>
        <v>1</v>
      </c>
      <c r="E25" s="11" t="s">
        <v>55</v>
      </c>
      <c r="F25" s="11" t="s">
        <v>6</v>
      </c>
      <c r="G25" s="11" t="s">
        <v>27</v>
      </c>
      <c r="H25" s="32">
        <v>31</v>
      </c>
      <c r="I25" s="38">
        <f t="shared" si="1"/>
        <v>4650000</v>
      </c>
      <c r="K25" s="24" t="s">
        <v>6</v>
      </c>
      <c r="L25" s="24" t="s">
        <v>27</v>
      </c>
      <c r="M25" s="24" t="s">
        <v>64</v>
      </c>
      <c r="N25" s="8">
        <f>DSUM(Mytable,"số lượng",K24:M25)</f>
        <v>909</v>
      </c>
      <c r="O25" s="23">
        <f>DAVERAGE(Mytable,"số lượng",K24:M25)</f>
        <v>60.6</v>
      </c>
      <c r="S25" s="11"/>
      <c r="T25" s="10"/>
      <c r="U25" s="11"/>
      <c r="V25" s="11"/>
      <c r="W25" s="11"/>
      <c r="X25" s="11"/>
      <c r="Y25" s="11"/>
      <c r="Z25" s="32"/>
      <c r="AA25" s="38"/>
      <c r="AC25" s="11"/>
      <c r="AD25" s="32"/>
    </row>
    <row r="26" spans="1:30">
      <c r="A26" s="11" t="s">
        <v>92</v>
      </c>
      <c r="B26" s="10">
        <v>45717</v>
      </c>
      <c r="C26" s="11">
        <f>MONTH(Table1[[#This Row],[Ngày]])</f>
        <v>3</v>
      </c>
      <c r="D26" s="11">
        <f t="shared" si="0"/>
        <v>1</v>
      </c>
      <c r="E26" s="11" t="s">
        <v>59</v>
      </c>
      <c r="F26" s="11" t="s">
        <v>6</v>
      </c>
      <c r="G26" s="11" t="s">
        <v>27</v>
      </c>
      <c r="H26" s="32">
        <v>75</v>
      </c>
      <c r="I26" s="38">
        <f t="shared" si="1"/>
        <v>11250000</v>
      </c>
      <c r="K26" s="11" t="s">
        <v>93</v>
      </c>
      <c r="S26" s="11"/>
      <c r="T26" s="10"/>
      <c r="U26" s="11"/>
      <c r="V26" s="11"/>
      <c r="W26" s="11"/>
      <c r="X26" s="11"/>
      <c r="Y26" s="11"/>
      <c r="Z26" s="32"/>
      <c r="AA26" s="38"/>
      <c r="AC26" s="11"/>
      <c r="AD26" s="32"/>
    </row>
    <row r="27" spans="1:30">
      <c r="A27" s="11" t="s">
        <v>94</v>
      </c>
      <c r="B27" s="10">
        <v>45688</v>
      </c>
      <c r="C27" s="11">
        <f>MONTH(Table1[[#This Row],[Ngày]])</f>
        <v>1</v>
      </c>
      <c r="D27" s="11">
        <f t="shared" si="0"/>
        <v>1</v>
      </c>
      <c r="E27" s="11" t="s">
        <v>61</v>
      </c>
      <c r="F27" s="11" t="s">
        <v>11</v>
      </c>
      <c r="G27" s="11" t="s">
        <v>27</v>
      </c>
      <c r="H27" s="32">
        <v>51</v>
      </c>
      <c r="I27" s="38">
        <f t="shared" si="1"/>
        <v>25500000</v>
      </c>
      <c r="K27" s="26" t="s">
        <v>44</v>
      </c>
      <c r="L27" s="26" t="s">
        <v>45</v>
      </c>
      <c r="M27" s="27" t="s">
        <v>41</v>
      </c>
      <c r="N27" s="26" t="s">
        <v>56</v>
      </c>
      <c r="O27" s="26" t="s">
        <v>57</v>
      </c>
      <c r="S27" s="11"/>
      <c r="T27" s="10"/>
      <c r="U27" s="11"/>
      <c r="V27" s="11"/>
      <c r="W27" s="11"/>
      <c r="X27" s="11"/>
      <c r="Y27" s="11"/>
      <c r="Z27" s="32"/>
      <c r="AA27" s="38"/>
      <c r="AC27" s="11"/>
      <c r="AD27" s="32"/>
    </row>
    <row r="28" spans="1:30">
      <c r="A28" s="11" t="s">
        <v>95</v>
      </c>
      <c r="B28" s="10">
        <v>45706</v>
      </c>
      <c r="C28" s="11">
        <f>MONTH(Table1[[#This Row],[Ngày]])</f>
        <v>2</v>
      </c>
      <c r="D28" s="11">
        <f t="shared" si="0"/>
        <v>1</v>
      </c>
      <c r="E28" s="11" t="s">
        <v>51</v>
      </c>
      <c r="F28" s="11" t="s">
        <v>11</v>
      </c>
      <c r="G28" s="11" t="s">
        <v>28</v>
      </c>
      <c r="H28" s="32">
        <v>74</v>
      </c>
      <c r="I28" s="38">
        <f t="shared" si="1"/>
        <v>37000000</v>
      </c>
      <c r="K28" s="24" t="s">
        <v>6</v>
      </c>
      <c r="L28" s="24" t="s">
        <v>27</v>
      </c>
      <c r="M28" s="24">
        <v>1</v>
      </c>
      <c r="N28">
        <f>DSUM(Mytable,"số lượng",K27:M28)</f>
        <v>2266</v>
      </c>
      <c r="O28" s="33">
        <f>DAVERAGE(Mytable,"số lượng",K27:M28)</f>
        <v>51.5</v>
      </c>
      <c r="S28" s="11"/>
      <c r="T28" s="10"/>
      <c r="U28" s="11"/>
      <c r="V28" s="11"/>
      <c r="W28" s="11"/>
      <c r="X28" s="11"/>
      <c r="Y28" s="11"/>
      <c r="Z28" s="32"/>
      <c r="AA28" s="38"/>
      <c r="AC28" s="11"/>
      <c r="AD28" s="32"/>
    </row>
    <row r="29" spans="1:30">
      <c r="A29" s="11" t="s">
        <v>96</v>
      </c>
      <c r="B29" s="10">
        <v>45659</v>
      </c>
      <c r="C29" s="11">
        <f>MONTH(Table1[[#This Row],[Ngày]])</f>
        <v>1</v>
      </c>
      <c r="D29" s="11">
        <f t="shared" si="0"/>
        <v>1</v>
      </c>
      <c r="E29" s="11" t="s">
        <v>59</v>
      </c>
      <c r="F29" s="11" t="s">
        <v>9</v>
      </c>
      <c r="G29" s="11" t="s">
        <v>27</v>
      </c>
      <c r="H29" s="32">
        <v>100</v>
      </c>
      <c r="I29" s="38">
        <f t="shared" si="1"/>
        <v>35000000</v>
      </c>
      <c r="K29" s="11" t="s">
        <v>97</v>
      </c>
      <c r="L29" s="10"/>
      <c r="M29" s="11"/>
      <c r="N29" s="11"/>
      <c r="O29" s="11"/>
      <c r="P29" s="11"/>
      <c r="Q29" s="11"/>
      <c r="R29" s="32"/>
      <c r="S29" s="11"/>
      <c r="T29" s="10"/>
      <c r="U29" s="11"/>
      <c r="V29" s="11"/>
      <c r="W29" s="11"/>
      <c r="X29" s="11"/>
      <c r="Y29" s="11"/>
      <c r="Z29" s="32"/>
      <c r="AA29" s="38"/>
      <c r="AC29" s="11"/>
      <c r="AD29" s="32"/>
    </row>
    <row r="30" spans="1:30">
      <c r="A30" s="11" t="s">
        <v>98</v>
      </c>
      <c r="B30" s="10">
        <v>45660</v>
      </c>
      <c r="C30" s="11">
        <f>MONTH(Table1[[#This Row],[Ngày]])</f>
        <v>1</v>
      </c>
      <c r="D30" s="11">
        <f t="shared" si="0"/>
        <v>1</v>
      </c>
      <c r="E30" s="11" t="s">
        <v>55</v>
      </c>
      <c r="F30" s="11" t="s">
        <v>11</v>
      </c>
      <c r="G30" s="11" t="s">
        <v>27</v>
      </c>
      <c r="H30" s="32">
        <v>99</v>
      </c>
      <c r="I30" s="38">
        <f t="shared" si="1"/>
        <v>49500000</v>
      </c>
      <c r="K30" s="26" t="s">
        <v>45</v>
      </c>
      <c r="L30" s="26" t="s">
        <v>43</v>
      </c>
      <c r="M30" s="27" t="s">
        <v>41</v>
      </c>
      <c r="N30" s="26" t="s">
        <v>56</v>
      </c>
      <c r="O30" s="26" t="s">
        <v>57</v>
      </c>
      <c r="P30" s="11"/>
      <c r="Q30" s="11"/>
      <c r="R30" s="32"/>
      <c r="S30" s="11"/>
      <c r="T30" s="10"/>
      <c r="U30" s="11"/>
      <c r="V30" s="11"/>
      <c r="W30" s="11"/>
      <c r="X30" s="11"/>
      <c r="Y30" s="11"/>
      <c r="Z30" s="32"/>
      <c r="AA30" s="38"/>
      <c r="AC30" s="11"/>
      <c r="AD30" s="32"/>
    </row>
    <row r="31" spans="1:30">
      <c r="A31" s="11" t="s">
        <v>99</v>
      </c>
      <c r="B31" s="10">
        <v>45689</v>
      </c>
      <c r="C31" s="11">
        <f>MONTH(Table1[[#This Row],[Ngày]])</f>
        <v>2</v>
      </c>
      <c r="D31" s="11">
        <f t="shared" si="0"/>
        <v>1</v>
      </c>
      <c r="E31" s="11" t="s">
        <v>64</v>
      </c>
      <c r="F31" s="11" t="s">
        <v>11</v>
      </c>
      <c r="G31" s="11" t="s">
        <v>27</v>
      </c>
      <c r="H31" s="32">
        <v>41</v>
      </c>
      <c r="I31" s="38">
        <f t="shared" si="1"/>
        <v>20500000</v>
      </c>
      <c r="K31" s="24" t="s">
        <v>27</v>
      </c>
      <c r="L31" s="24" t="s">
        <v>64</v>
      </c>
      <c r="M31" s="24">
        <v>1</v>
      </c>
      <c r="N31" s="8">
        <f>DSUM(Mytable,"số lượng",K30:M31)</f>
        <v>1239</v>
      </c>
      <c r="O31" s="23">
        <f>DAVERAGE(Mytable,"số lượng",K30:M31)</f>
        <v>61.95</v>
      </c>
      <c r="P31" s="11"/>
      <c r="Q31" s="11"/>
      <c r="R31" s="32"/>
      <c r="S31" s="11"/>
      <c r="T31" s="10"/>
      <c r="U31" s="11"/>
      <c r="V31" s="11"/>
      <c r="W31" s="11"/>
      <c r="X31" s="11"/>
      <c r="Y31" s="11"/>
      <c r="Z31" s="32"/>
      <c r="AA31" s="38"/>
      <c r="AC31" s="11"/>
      <c r="AD31" s="32"/>
    </row>
    <row r="32" spans="1:30">
      <c r="A32" s="11" t="s">
        <v>100</v>
      </c>
      <c r="B32" s="10">
        <v>45712</v>
      </c>
      <c r="C32" s="11">
        <f>MONTH(Table1[[#This Row],[Ngày]])</f>
        <v>2</v>
      </c>
      <c r="D32" s="11">
        <f t="shared" si="0"/>
        <v>1</v>
      </c>
      <c r="E32" s="11" t="s">
        <v>51</v>
      </c>
      <c r="F32" s="11" t="s">
        <v>9</v>
      </c>
      <c r="G32" s="11" t="s">
        <v>27</v>
      </c>
      <c r="H32" s="32">
        <v>38</v>
      </c>
      <c r="I32" s="38">
        <f t="shared" si="1"/>
        <v>13300000</v>
      </c>
      <c r="K32" t="s">
        <v>101</v>
      </c>
      <c r="S32" s="11"/>
      <c r="T32" s="10"/>
      <c r="U32" s="11"/>
      <c r="V32" s="11"/>
      <c r="W32" s="11"/>
      <c r="X32" s="11"/>
      <c r="Y32" s="11"/>
      <c r="Z32" s="32"/>
      <c r="AA32" s="38"/>
      <c r="AC32" s="11"/>
      <c r="AD32" s="32"/>
    </row>
    <row r="33" spans="1:30">
      <c r="A33" s="11" t="s">
        <v>102</v>
      </c>
      <c r="B33" s="10">
        <v>45697</v>
      </c>
      <c r="C33" s="11">
        <f>MONTH(Table1[[#This Row],[Ngày]])</f>
        <v>2</v>
      </c>
      <c r="D33" s="11">
        <f t="shared" si="0"/>
        <v>1</v>
      </c>
      <c r="E33" s="11" t="s">
        <v>64</v>
      </c>
      <c r="F33" s="11" t="s">
        <v>9</v>
      </c>
      <c r="G33" s="11" t="s">
        <v>28</v>
      </c>
      <c r="H33" s="32">
        <v>50</v>
      </c>
      <c r="I33" s="38">
        <f t="shared" si="1"/>
        <v>17500000</v>
      </c>
      <c r="K33" s="26" t="s">
        <v>44</v>
      </c>
      <c r="L33" s="26" t="s">
        <v>45</v>
      </c>
      <c r="M33" s="26" t="s">
        <v>43</v>
      </c>
      <c r="N33" s="27" t="s">
        <v>41</v>
      </c>
      <c r="O33" s="26" t="s">
        <v>56</v>
      </c>
      <c r="P33" s="26" t="s">
        <v>57</v>
      </c>
      <c r="S33" s="11"/>
      <c r="T33" s="10"/>
      <c r="U33" s="11"/>
      <c r="V33" s="11"/>
      <c r="W33" s="11"/>
      <c r="X33" s="11"/>
      <c r="Y33" s="11"/>
      <c r="Z33" s="32"/>
      <c r="AA33" s="38"/>
      <c r="AC33" s="11"/>
      <c r="AD33" s="32"/>
    </row>
    <row r="34" spans="1:30">
      <c r="A34" s="11" t="s">
        <v>103</v>
      </c>
      <c r="B34" s="10">
        <v>45683</v>
      </c>
      <c r="C34" s="11">
        <f>MONTH(Table1[[#This Row],[Ngày]])</f>
        <v>1</v>
      </c>
      <c r="D34" s="11">
        <f t="shared" ref="D34:D65" si="2">ROUNDUP($C34/3, 0)</f>
        <v>1</v>
      </c>
      <c r="E34" s="11" t="s">
        <v>64</v>
      </c>
      <c r="F34" s="11" t="s">
        <v>9</v>
      </c>
      <c r="G34" s="11" t="s">
        <v>28</v>
      </c>
      <c r="H34" s="32">
        <v>90</v>
      </c>
      <c r="I34" s="38">
        <f t="shared" si="1"/>
        <v>31500000</v>
      </c>
      <c r="K34" s="24" t="s">
        <v>6</v>
      </c>
      <c r="L34" s="24" t="s">
        <v>27</v>
      </c>
      <c r="M34" s="24" t="s">
        <v>64</v>
      </c>
      <c r="N34" s="24">
        <v>1</v>
      </c>
      <c r="O34" s="8">
        <f>DSUM(Mytable,"số lượng",K33:N34)</f>
        <v>520</v>
      </c>
      <c r="P34" s="23">
        <f>DAVERAGE(Mytable,"số lượng",K33:N34)</f>
        <v>57.777777777777779</v>
      </c>
      <c r="S34" s="11"/>
      <c r="T34" s="10"/>
      <c r="U34" s="11"/>
      <c r="V34" s="11"/>
      <c r="W34" s="11"/>
      <c r="X34" s="11"/>
      <c r="Y34" s="11"/>
      <c r="Z34" s="32"/>
      <c r="AA34" s="38"/>
      <c r="AC34" s="11"/>
      <c r="AD34" s="32"/>
    </row>
    <row r="35" spans="1:30">
      <c r="A35" s="11" t="s">
        <v>104</v>
      </c>
      <c r="B35" s="10">
        <v>45690</v>
      </c>
      <c r="C35" s="11">
        <f>MONTH(Table1[[#This Row],[Ngày]])</f>
        <v>2</v>
      </c>
      <c r="D35" s="11">
        <f t="shared" si="2"/>
        <v>1</v>
      </c>
      <c r="E35" s="11" t="s">
        <v>51</v>
      </c>
      <c r="F35" s="11" t="s">
        <v>9</v>
      </c>
      <c r="G35" s="11" t="s">
        <v>28</v>
      </c>
      <c r="H35" s="32">
        <v>89</v>
      </c>
      <c r="I35" s="38">
        <f t="shared" si="1"/>
        <v>31150000</v>
      </c>
      <c r="S35" s="11"/>
      <c r="T35" s="10"/>
      <c r="U35" s="11"/>
      <c r="V35" s="11"/>
      <c r="W35" s="11"/>
      <c r="X35" s="11"/>
      <c r="Y35" s="11"/>
      <c r="Z35" s="32"/>
      <c r="AA35" s="38"/>
      <c r="AC35" s="11"/>
      <c r="AD35" s="32"/>
    </row>
    <row r="36" spans="1:30">
      <c r="A36" s="11" t="s">
        <v>105</v>
      </c>
      <c r="B36" s="10">
        <v>45715</v>
      </c>
      <c r="C36" s="11">
        <f>MONTH(Table1[[#This Row],[Ngày]])</f>
        <v>2</v>
      </c>
      <c r="D36" s="11">
        <f t="shared" si="2"/>
        <v>1</v>
      </c>
      <c r="E36" s="11" t="s">
        <v>61</v>
      </c>
      <c r="F36" s="11" t="s">
        <v>11</v>
      </c>
      <c r="G36" s="11" t="s">
        <v>27</v>
      </c>
      <c r="H36" s="32">
        <v>63</v>
      </c>
      <c r="I36" s="38">
        <f t="shared" si="1"/>
        <v>31500000</v>
      </c>
      <c r="S36" s="11"/>
      <c r="T36" s="10"/>
      <c r="U36" s="11"/>
      <c r="V36" s="11"/>
      <c r="W36" s="11"/>
      <c r="X36" s="11"/>
      <c r="Y36" s="11"/>
      <c r="Z36" s="32"/>
      <c r="AA36" s="38"/>
      <c r="AC36" s="11"/>
      <c r="AD36" s="32"/>
    </row>
    <row r="37" spans="1:30">
      <c r="A37" s="11" t="s">
        <v>106</v>
      </c>
      <c r="B37" s="10">
        <v>45711</v>
      </c>
      <c r="C37" s="11">
        <f>MONTH(Table1[[#This Row],[Ngày]])</f>
        <v>2</v>
      </c>
      <c r="D37" s="11">
        <f t="shared" si="2"/>
        <v>1</v>
      </c>
      <c r="E37" s="11" t="s">
        <v>61</v>
      </c>
      <c r="F37" s="11" t="s">
        <v>6</v>
      </c>
      <c r="G37" s="11" t="s">
        <v>28</v>
      </c>
      <c r="H37" s="32">
        <v>16</v>
      </c>
      <c r="I37" s="38">
        <f t="shared" si="1"/>
        <v>2400000</v>
      </c>
      <c r="S37" s="11"/>
      <c r="T37" s="10"/>
      <c r="U37" s="11"/>
      <c r="V37" s="11"/>
      <c r="W37" s="11"/>
      <c r="X37" s="11"/>
      <c r="Y37" s="11"/>
      <c r="Z37" s="32"/>
      <c r="AA37" s="38"/>
      <c r="AC37" s="11"/>
      <c r="AD37" s="32"/>
    </row>
    <row r="38" spans="1:30">
      <c r="A38" s="11" t="s">
        <v>107</v>
      </c>
      <c r="B38" s="10">
        <v>45681</v>
      </c>
      <c r="C38" s="11">
        <f>MONTH(Table1[[#This Row],[Ngày]])</f>
        <v>1</v>
      </c>
      <c r="D38" s="11">
        <f t="shared" si="2"/>
        <v>1</v>
      </c>
      <c r="E38" s="11" t="s">
        <v>59</v>
      </c>
      <c r="F38" s="11" t="s">
        <v>9</v>
      </c>
      <c r="G38" s="11" t="s">
        <v>27</v>
      </c>
      <c r="H38" s="32">
        <v>12</v>
      </c>
      <c r="I38" s="38">
        <f t="shared" si="1"/>
        <v>4200000</v>
      </c>
      <c r="S38" s="11"/>
      <c r="T38" s="10"/>
      <c r="U38" s="11"/>
      <c r="V38" s="11"/>
      <c r="W38" s="11"/>
      <c r="X38" s="11"/>
      <c r="Y38" s="11"/>
      <c r="Z38" s="32"/>
      <c r="AA38" s="38"/>
      <c r="AC38" s="11"/>
      <c r="AD38" s="32"/>
    </row>
    <row r="39" spans="1:30">
      <c r="A39" s="11" t="s">
        <v>108</v>
      </c>
      <c r="B39" s="10">
        <v>45673</v>
      </c>
      <c r="C39" s="11">
        <f>MONTH(Table1[[#This Row],[Ngày]])</f>
        <v>1</v>
      </c>
      <c r="D39" s="11">
        <f t="shared" si="2"/>
        <v>1</v>
      </c>
      <c r="E39" s="11" t="s">
        <v>61</v>
      </c>
      <c r="F39" s="11" t="s">
        <v>6</v>
      </c>
      <c r="G39" s="11" t="s">
        <v>27</v>
      </c>
      <c r="H39" s="32">
        <v>87</v>
      </c>
      <c r="I39" s="38">
        <f t="shared" si="1"/>
        <v>13050000</v>
      </c>
      <c r="S39" s="11"/>
      <c r="T39" s="10"/>
      <c r="U39" s="11"/>
      <c r="V39" s="11"/>
      <c r="W39" s="11"/>
      <c r="X39" s="11"/>
      <c r="Y39" s="11"/>
      <c r="Z39" s="32"/>
      <c r="AA39" s="38"/>
      <c r="AC39" s="11"/>
      <c r="AD39" s="32"/>
    </row>
    <row r="40" spans="1:30">
      <c r="A40" s="11" t="s">
        <v>109</v>
      </c>
      <c r="B40" s="10">
        <v>45700</v>
      </c>
      <c r="C40" s="11">
        <f>MONTH(Table1[[#This Row],[Ngày]])</f>
        <v>2</v>
      </c>
      <c r="D40" s="11">
        <f t="shared" si="2"/>
        <v>1</v>
      </c>
      <c r="E40" s="11" t="s">
        <v>51</v>
      </c>
      <c r="F40" s="11" t="s">
        <v>6</v>
      </c>
      <c r="G40" s="11" t="s">
        <v>27</v>
      </c>
      <c r="H40" s="32">
        <v>13</v>
      </c>
      <c r="I40" s="38">
        <f t="shared" si="1"/>
        <v>1950000</v>
      </c>
      <c r="S40" s="11"/>
      <c r="T40" s="10"/>
      <c r="U40" s="11"/>
      <c r="V40" s="11"/>
      <c r="W40" s="11"/>
      <c r="X40" s="11"/>
      <c r="Y40" s="11"/>
      <c r="Z40" s="32"/>
      <c r="AA40" s="38"/>
      <c r="AC40" s="11"/>
      <c r="AD40" s="32"/>
    </row>
    <row r="41" spans="1:30">
      <c r="A41" s="11" t="s">
        <v>110</v>
      </c>
      <c r="B41" s="10">
        <v>45718</v>
      </c>
      <c r="C41" s="11">
        <f>MONTH(Table1[[#This Row],[Ngày]])</f>
        <v>3</v>
      </c>
      <c r="D41" s="11">
        <f t="shared" si="2"/>
        <v>1</v>
      </c>
      <c r="E41" s="11" t="s">
        <v>55</v>
      </c>
      <c r="F41" s="11" t="s">
        <v>9</v>
      </c>
      <c r="G41" s="11" t="s">
        <v>27</v>
      </c>
      <c r="H41" s="32">
        <v>13</v>
      </c>
      <c r="I41" s="38">
        <f t="shared" si="1"/>
        <v>4550000</v>
      </c>
      <c r="S41" s="11"/>
      <c r="T41" s="10"/>
      <c r="U41" s="11"/>
      <c r="V41" s="11"/>
      <c r="W41" s="11"/>
      <c r="X41" s="11"/>
      <c r="Y41" s="11"/>
      <c r="Z41" s="32"/>
      <c r="AA41" s="38"/>
      <c r="AC41" s="11"/>
      <c r="AD41" s="32"/>
    </row>
    <row r="42" spans="1:30">
      <c r="A42" s="11" t="s">
        <v>111</v>
      </c>
      <c r="B42" s="10">
        <v>45706</v>
      </c>
      <c r="C42" s="11">
        <f>MONTH(Table1[[#This Row],[Ngày]])</f>
        <v>2</v>
      </c>
      <c r="D42" s="11">
        <f t="shared" si="2"/>
        <v>1</v>
      </c>
      <c r="E42" s="11" t="s">
        <v>59</v>
      </c>
      <c r="F42" s="11" t="s">
        <v>6</v>
      </c>
      <c r="G42" s="11" t="s">
        <v>27</v>
      </c>
      <c r="H42" s="32">
        <v>71</v>
      </c>
      <c r="I42" s="38">
        <f t="shared" si="1"/>
        <v>10650000</v>
      </c>
      <c r="K42" s="11"/>
      <c r="L42" s="10"/>
      <c r="M42" s="11"/>
      <c r="N42" s="11"/>
      <c r="O42" s="11"/>
      <c r="P42" s="11"/>
      <c r="Q42" s="11"/>
      <c r="R42" s="32"/>
      <c r="S42" s="11"/>
      <c r="T42" s="10"/>
      <c r="U42" s="11"/>
      <c r="V42" s="11"/>
      <c r="W42" s="11"/>
      <c r="X42" s="11"/>
      <c r="Y42" s="11"/>
      <c r="Z42" s="32"/>
      <c r="AA42" s="38"/>
      <c r="AC42" s="11"/>
      <c r="AD42" s="32"/>
    </row>
    <row r="43" spans="1:30">
      <c r="A43" s="11" t="s">
        <v>112</v>
      </c>
      <c r="B43" s="10">
        <v>45697</v>
      </c>
      <c r="C43" s="11">
        <f>MONTH(Table1[[#This Row],[Ngày]])</f>
        <v>2</v>
      </c>
      <c r="D43" s="11">
        <f t="shared" si="2"/>
        <v>1</v>
      </c>
      <c r="E43" s="11" t="s">
        <v>59</v>
      </c>
      <c r="F43" s="11" t="s">
        <v>11</v>
      </c>
      <c r="G43" s="11" t="s">
        <v>28</v>
      </c>
      <c r="H43" s="32">
        <v>42</v>
      </c>
      <c r="I43" s="38">
        <f t="shared" si="1"/>
        <v>21000000</v>
      </c>
      <c r="K43" s="11"/>
      <c r="L43" s="10"/>
      <c r="M43" s="11"/>
      <c r="N43" s="11"/>
      <c r="O43" s="11"/>
      <c r="P43" s="11"/>
      <c r="Q43" s="11"/>
      <c r="R43" s="32"/>
      <c r="S43" s="11"/>
      <c r="T43" s="10"/>
      <c r="U43" s="11"/>
      <c r="V43" s="11"/>
      <c r="W43" s="11"/>
      <c r="X43" s="11"/>
      <c r="Y43" s="11"/>
      <c r="Z43" s="32"/>
      <c r="AA43" s="38"/>
      <c r="AC43" s="11"/>
      <c r="AD43" s="32"/>
    </row>
    <row r="44" spans="1:30">
      <c r="A44" s="11" t="s">
        <v>113</v>
      </c>
      <c r="B44" s="10">
        <v>45703</v>
      </c>
      <c r="C44" s="11">
        <f>MONTH(Table1[[#This Row],[Ngày]])</f>
        <v>2</v>
      </c>
      <c r="D44" s="11">
        <f t="shared" si="2"/>
        <v>1</v>
      </c>
      <c r="E44" s="11" t="s">
        <v>64</v>
      </c>
      <c r="F44" s="11" t="s">
        <v>11</v>
      </c>
      <c r="G44" s="11" t="s">
        <v>28</v>
      </c>
      <c r="H44" s="32">
        <v>98</v>
      </c>
      <c r="I44" s="38">
        <f t="shared" si="1"/>
        <v>49000000</v>
      </c>
      <c r="K44" s="11"/>
      <c r="L44" s="10"/>
      <c r="M44" s="11"/>
      <c r="N44" s="11"/>
      <c r="O44" s="11"/>
      <c r="P44" s="11"/>
      <c r="Q44" s="11"/>
      <c r="R44" s="32"/>
      <c r="S44" s="11"/>
      <c r="T44" s="10"/>
      <c r="U44" s="11"/>
      <c r="V44" s="11"/>
      <c r="W44" s="11"/>
      <c r="X44" s="11"/>
      <c r="Y44" s="11"/>
      <c r="Z44" s="32"/>
      <c r="AA44" s="38"/>
      <c r="AC44" s="11"/>
      <c r="AD44" s="32"/>
    </row>
    <row r="45" spans="1:30">
      <c r="A45" s="11" t="s">
        <v>114</v>
      </c>
      <c r="B45" s="10">
        <v>45714</v>
      </c>
      <c r="C45" s="11">
        <f>MONTH(Table1[[#This Row],[Ngày]])</f>
        <v>2</v>
      </c>
      <c r="D45" s="11">
        <f t="shared" si="2"/>
        <v>1</v>
      </c>
      <c r="E45" s="11" t="s">
        <v>64</v>
      </c>
      <c r="F45" s="11" t="s">
        <v>9</v>
      </c>
      <c r="G45" s="11" t="s">
        <v>28</v>
      </c>
      <c r="H45" s="32">
        <v>55</v>
      </c>
      <c r="I45" s="38">
        <f t="shared" si="1"/>
        <v>19250000</v>
      </c>
      <c r="K45" s="11"/>
      <c r="L45" s="10"/>
      <c r="M45" s="11"/>
      <c r="N45" s="11"/>
      <c r="O45" s="11"/>
      <c r="P45" s="11"/>
      <c r="Q45" s="11"/>
      <c r="R45" s="32"/>
      <c r="S45" s="11"/>
      <c r="T45" s="10"/>
      <c r="U45" s="11"/>
      <c r="V45" s="11"/>
      <c r="W45" s="11"/>
      <c r="X45" s="11"/>
      <c r="Y45" s="11"/>
      <c r="Z45" s="32"/>
      <c r="AA45" s="38"/>
      <c r="AC45" s="11"/>
      <c r="AD45" s="32"/>
    </row>
    <row r="46" spans="1:30">
      <c r="A46" s="11" t="s">
        <v>115</v>
      </c>
      <c r="B46" s="10">
        <v>45707</v>
      </c>
      <c r="C46" s="11">
        <f>MONTH(Table1[[#This Row],[Ngày]])</f>
        <v>2</v>
      </c>
      <c r="D46" s="11">
        <f t="shared" si="2"/>
        <v>1</v>
      </c>
      <c r="E46" s="11" t="s">
        <v>51</v>
      </c>
      <c r="F46" s="11" t="s">
        <v>11</v>
      </c>
      <c r="G46" s="11" t="s">
        <v>27</v>
      </c>
      <c r="H46" s="32">
        <v>19</v>
      </c>
      <c r="I46" s="38">
        <f t="shared" si="1"/>
        <v>9500000</v>
      </c>
      <c r="K46" s="11"/>
      <c r="L46" s="10"/>
      <c r="M46" s="11"/>
      <c r="N46" s="11"/>
      <c r="O46" s="11"/>
      <c r="P46" s="11"/>
      <c r="Q46" s="11"/>
      <c r="R46" s="32"/>
      <c r="S46" s="11"/>
      <c r="T46" s="10"/>
      <c r="U46" s="11"/>
      <c r="V46" s="11"/>
      <c r="W46" s="11"/>
      <c r="X46" s="11"/>
      <c r="Y46" s="11"/>
      <c r="Z46" s="32"/>
      <c r="AA46" s="38"/>
      <c r="AC46" s="11"/>
      <c r="AD46" s="32"/>
    </row>
    <row r="47" spans="1:30">
      <c r="A47" s="11" t="s">
        <v>116</v>
      </c>
      <c r="B47" s="10">
        <v>45689</v>
      </c>
      <c r="C47" s="11">
        <f>MONTH(Table1[[#This Row],[Ngày]])</f>
        <v>2</v>
      </c>
      <c r="D47" s="11">
        <f t="shared" si="2"/>
        <v>1</v>
      </c>
      <c r="E47" s="11" t="s">
        <v>51</v>
      </c>
      <c r="F47" s="11" t="s">
        <v>11</v>
      </c>
      <c r="G47" s="11" t="s">
        <v>28</v>
      </c>
      <c r="H47" s="32">
        <v>31</v>
      </c>
      <c r="I47" s="38">
        <f t="shared" si="1"/>
        <v>15500000</v>
      </c>
      <c r="K47" s="11"/>
      <c r="L47" s="10"/>
      <c r="M47" s="11"/>
      <c r="N47" s="11"/>
      <c r="O47" s="11"/>
      <c r="P47" s="11"/>
      <c r="Q47" s="11"/>
      <c r="R47" s="32"/>
      <c r="S47" s="11"/>
      <c r="T47" s="10"/>
      <c r="U47" s="11"/>
      <c r="V47" s="11"/>
      <c r="W47" s="11"/>
      <c r="X47" s="11"/>
      <c r="Y47" s="11"/>
      <c r="Z47" s="32"/>
      <c r="AA47" s="38"/>
      <c r="AC47" s="11"/>
      <c r="AD47" s="32"/>
    </row>
    <row r="48" spans="1:30">
      <c r="A48" s="11" t="s">
        <v>117</v>
      </c>
      <c r="B48" s="10">
        <v>45668</v>
      </c>
      <c r="C48" s="11">
        <f>MONTH(Table1[[#This Row],[Ngày]])</f>
        <v>1</v>
      </c>
      <c r="D48" s="11">
        <f t="shared" si="2"/>
        <v>1</v>
      </c>
      <c r="E48" s="11" t="s">
        <v>64</v>
      </c>
      <c r="F48" s="11" t="s">
        <v>11</v>
      </c>
      <c r="G48" s="11" t="s">
        <v>27</v>
      </c>
      <c r="H48" s="32">
        <v>94</v>
      </c>
      <c r="I48" s="38">
        <f t="shared" si="1"/>
        <v>47000000</v>
      </c>
      <c r="K48" s="11"/>
      <c r="L48" s="10"/>
      <c r="M48" s="11"/>
      <c r="N48" s="11"/>
      <c r="O48" s="11"/>
      <c r="P48" s="11"/>
      <c r="Q48" s="11"/>
      <c r="R48" s="32"/>
      <c r="S48" s="11"/>
      <c r="T48" s="10"/>
      <c r="U48" s="11"/>
      <c r="V48" s="11"/>
      <c r="W48" s="11"/>
      <c r="X48" s="11"/>
      <c r="Y48" s="11"/>
      <c r="Z48" s="32"/>
      <c r="AA48" s="38"/>
      <c r="AC48" s="11"/>
      <c r="AD48" s="32"/>
    </row>
    <row r="49" spans="1:30">
      <c r="A49" s="11" t="s">
        <v>118</v>
      </c>
      <c r="B49" s="10">
        <v>45698</v>
      </c>
      <c r="C49" s="11">
        <f>MONTH(Table1[[#This Row],[Ngày]])</f>
        <v>2</v>
      </c>
      <c r="D49" s="11">
        <f t="shared" si="2"/>
        <v>1</v>
      </c>
      <c r="E49" s="11" t="s">
        <v>55</v>
      </c>
      <c r="F49" s="11" t="s">
        <v>11</v>
      </c>
      <c r="G49" s="11" t="s">
        <v>27</v>
      </c>
      <c r="H49" s="32">
        <v>86</v>
      </c>
      <c r="I49" s="38">
        <f t="shared" si="1"/>
        <v>43000000</v>
      </c>
      <c r="K49" s="11"/>
      <c r="L49" s="10"/>
      <c r="M49" s="11"/>
      <c r="N49" s="11"/>
      <c r="O49" s="11"/>
      <c r="P49" s="11"/>
      <c r="Q49" s="11"/>
      <c r="R49" s="32"/>
      <c r="S49" s="11"/>
      <c r="T49" s="10"/>
      <c r="U49" s="11"/>
      <c r="V49" s="11"/>
      <c r="W49" s="11"/>
      <c r="X49" s="11"/>
      <c r="Y49" s="11"/>
      <c r="Z49" s="32"/>
      <c r="AA49" s="38"/>
      <c r="AC49" s="11"/>
      <c r="AD49" s="32"/>
    </row>
    <row r="50" spans="1:30">
      <c r="A50" s="11" t="s">
        <v>119</v>
      </c>
      <c r="B50" s="10">
        <v>45659</v>
      </c>
      <c r="C50" s="11">
        <f>MONTH(Table1[[#This Row],[Ngày]])</f>
        <v>1</v>
      </c>
      <c r="D50" s="11">
        <f t="shared" si="2"/>
        <v>1</v>
      </c>
      <c r="E50" s="11" t="s">
        <v>51</v>
      </c>
      <c r="F50" s="11" t="s">
        <v>11</v>
      </c>
      <c r="G50" s="11" t="s">
        <v>27</v>
      </c>
      <c r="H50" s="32">
        <v>61</v>
      </c>
      <c r="I50" s="38">
        <f t="shared" si="1"/>
        <v>30500000</v>
      </c>
      <c r="K50" s="11"/>
      <c r="L50" s="10"/>
      <c r="M50" s="11"/>
      <c r="N50" s="11"/>
      <c r="O50" s="11"/>
      <c r="P50" s="11"/>
      <c r="Q50" s="11"/>
      <c r="R50" s="32"/>
      <c r="S50" s="11"/>
      <c r="T50" s="10"/>
      <c r="U50" s="11"/>
      <c r="V50" s="11"/>
      <c r="W50" s="11"/>
      <c r="X50" s="11"/>
      <c r="Y50" s="11"/>
      <c r="Z50" s="32"/>
      <c r="AA50" s="38"/>
      <c r="AC50" s="11"/>
      <c r="AD50" s="32"/>
    </row>
    <row r="51" spans="1:30">
      <c r="A51" s="11" t="s">
        <v>120</v>
      </c>
      <c r="B51" s="10">
        <v>45717</v>
      </c>
      <c r="C51" s="11">
        <f>MONTH(Table1[[#This Row],[Ngày]])</f>
        <v>3</v>
      </c>
      <c r="D51" s="11">
        <f t="shared" si="2"/>
        <v>1</v>
      </c>
      <c r="E51" s="11" t="s">
        <v>59</v>
      </c>
      <c r="F51" s="11" t="s">
        <v>6</v>
      </c>
      <c r="G51" s="11" t="s">
        <v>27</v>
      </c>
      <c r="H51" s="32">
        <v>97</v>
      </c>
      <c r="I51" s="38">
        <f t="shared" si="1"/>
        <v>14550000</v>
      </c>
      <c r="K51" s="11"/>
      <c r="L51" s="10"/>
      <c r="M51" s="11"/>
      <c r="N51" s="11"/>
      <c r="O51" s="11"/>
      <c r="P51" s="11"/>
      <c r="Q51" s="11"/>
      <c r="R51" s="32"/>
      <c r="S51" s="11"/>
      <c r="T51" s="10"/>
      <c r="U51" s="11"/>
      <c r="V51" s="11"/>
      <c r="W51" s="11"/>
      <c r="X51" s="11"/>
      <c r="Y51" s="11"/>
      <c r="Z51" s="32"/>
      <c r="AA51" s="38"/>
      <c r="AC51" s="11"/>
      <c r="AD51" s="32"/>
    </row>
    <row r="52" spans="1:30">
      <c r="A52" s="11" t="s">
        <v>121</v>
      </c>
      <c r="B52" s="10">
        <v>45714</v>
      </c>
      <c r="C52" s="11">
        <f>MONTH(Table1[[#This Row],[Ngày]])</f>
        <v>2</v>
      </c>
      <c r="D52" s="11">
        <f t="shared" si="2"/>
        <v>1</v>
      </c>
      <c r="E52" s="11" t="s">
        <v>55</v>
      </c>
      <c r="F52" s="11" t="s">
        <v>11</v>
      </c>
      <c r="G52" s="11" t="s">
        <v>28</v>
      </c>
      <c r="H52" s="32">
        <v>28</v>
      </c>
      <c r="I52" s="38">
        <f t="shared" si="1"/>
        <v>14000000</v>
      </c>
      <c r="K52" s="11"/>
      <c r="L52" s="10"/>
      <c r="M52" s="11"/>
      <c r="N52" s="11"/>
      <c r="O52" s="11"/>
      <c r="P52" s="11"/>
      <c r="Q52" s="11"/>
      <c r="R52" s="32"/>
      <c r="S52" s="11"/>
      <c r="T52" s="10"/>
      <c r="U52" s="11"/>
      <c r="V52" s="11"/>
      <c r="W52" s="11"/>
      <c r="X52" s="11"/>
      <c r="Y52" s="11"/>
      <c r="Z52" s="32"/>
      <c r="AA52" s="38"/>
      <c r="AC52" s="11"/>
      <c r="AD52" s="32"/>
    </row>
    <row r="53" spans="1:30">
      <c r="A53" s="11" t="s">
        <v>122</v>
      </c>
      <c r="B53" s="10">
        <v>45696</v>
      </c>
      <c r="C53" s="11">
        <f>MONTH(Table1[[#This Row],[Ngày]])</f>
        <v>2</v>
      </c>
      <c r="D53" s="11">
        <f t="shared" si="2"/>
        <v>1</v>
      </c>
      <c r="E53" s="11" t="s">
        <v>51</v>
      </c>
      <c r="F53" s="11" t="s">
        <v>6</v>
      </c>
      <c r="G53" s="11" t="s">
        <v>28</v>
      </c>
      <c r="H53" s="32">
        <v>42</v>
      </c>
      <c r="I53" s="38">
        <f t="shared" si="1"/>
        <v>6300000</v>
      </c>
      <c r="K53" s="11"/>
      <c r="L53" s="10"/>
      <c r="M53" s="11"/>
      <c r="N53" s="11"/>
      <c r="O53" s="11"/>
      <c r="P53" s="11"/>
      <c r="Q53" s="11"/>
      <c r="R53" s="32"/>
      <c r="S53" s="11"/>
      <c r="T53" s="10"/>
      <c r="U53" s="11"/>
      <c r="V53" s="11"/>
      <c r="W53" s="11"/>
      <c r="X53" s="11"/>
      <c r="Y53" s="11"/>
      <c r="Z53" s="32"/>
      <c r="AA53" s="38"/>
      <c r="AC53" s="11"/>
      <c r="AD53" s="32"/>
    </row>
    <row r="54" spans="1:30">
      <c r="A54" s="11" t="s">
        <v>123</v>
      </c>
      <c r="B54" s="10">
        <v>45707</v>
      </c>
      <c r="C54" s="11">
        <f>MONTH(Table1[[#This Row],[Ngày]])</f>
        <v>2</v>
      </c>
      <c r="D54" s="11">
        <f t="shared" si="2"/>
        <v>1</v>
      </c>
      <c r="E54" s="11" t="s">
        <v>64</v>
      </c>
      <c r="F54" s="11" t="s">
        <v>6</v>
      </c>
      <c r="G54" s="11" t="s">
        <v>28</v>
      </c>
      <c r="H54" s="32">
        <v>29</v>
      </c>
      <c r="I54" s="38">
        <f t="shared" si="1"/>
        <v>4350000</v>
      </c>
      <c r="K54" s="11"/>
      <c r="L54" s="10"/>
      <c r="M54" s="11"/>
      <c r="N54" s="11"/>
      <c r="O54" s="11"/>
      <c r="P54" s="11"/>
      <c r="Q54" s="11"/>
      <c r="R54" s="32"/>
      <c r="S54" s="11"/>
      <c r="T54" s="10"/>
      <c r="U54" s="11"/>
      <c r="V54" s="11"/>
      <c r="W54" s="11"/>
      <c r="X54" s="11"/>
      <c r="Y54" s="11"/>
      <c r="Z54" s="32"/>
      <c r="AA54" s="38"/>
      <c r="AC54" s="11"/>
      <c r="AD54" s="32"/>
    </row>
    <row r="55" spans="1:30">
      <c r="A55" s="11" t="s">
        <v>124</v>
      </c>
      <c r="B55" s="10">
        <v>45688</v>
      </c>
      <c r="C55" s="11">
        <f>MONTH(Table1[[#This Row],[Ngày]])</f>
        <v>1</v>
      </c>
      <c r="D55" s="11">
        <f t="shared" si="2"/>
        <v>1</v>
      </c>
      <c r="E55" s="11" t="s">
        <v>59</v>
      </c>
      <c r="F55" s="11" t="s">
        <v>6</v>
      </c>
      <c r="G55" s="11" t="s">
        <v>27</v>
      </c>
      <c r="H55" s="32">
        <v>84</v>
      </c>
      <c r="I55" s="38">
        <f t="shared" si="1"/>
        <v>12600000</v>
      </c>
      <c r="K55" s="11"/>
      <c r="L55" s="10"/>
      <c r="M55" s="11"/>
      <c r="N55" s="11"/>
      <c r="O55" s="11"/>
      <c r="P55" s="11"/>
      <c r="Q55" s="11"/>
      <c r="R55" s="32"/>
      <c r="S55" s="11"/>
      <c r="T55" s="10"/>
      <c r="U55" s="11"/>
      <c r="V55" s="11"/>
      <c r="W55" s="11"/>
      <c r="X55" s="11"/>
      <c r="Y55" s="11"/>
      <c r="Z55" s="32"/>
      <c r="AA55" s="38"/>
      <c r="AC55" s="11"/>
      <c r="AD55" s="32"/>
    </row>
    <row r="56" spans="1:30">
      <c r="A56" s="11" t="s">
        <v>125</v>
      </c>
      <c r="B56" s="10">
        <v>45715</v>
      </c>
      <c r="C56" s="11">
        <f>MONTH(Table1[[#This Row],[Ngày]])</f>
        <v>2</v>
      </c>
      <c r="D56" s="11">
        <f t="shared" si="2"/>
        <v>1</v>
      </c>
      <c r="E56" s="11" t="s">
        <v>55</v>
      </c>
      <c r="F56" s="11" t="s">
        <v>6</v>
      </c>
      <c r="G56" s="11" t="s">
        <v>28</v>
      </c>
      <c r="H56" s="32">
        <v>50</v>
      </c>
      <c r="I56" s="38">
        <f t="shared" si="1"/>
        <v>7500000</v>
      </c>
      <c r="K56" s="11"/>
      <c r="L56" s="10"/>
      <c r="M56" s="11"/>
      <c r="N56" s="11"/>
      <c r="O56" s="11"/>
      <c r="P56" s="11"/>
      <c r="Q56" s="11"/>
      <c r="R56" s="32"/>
      <c r="S56" s="11"/>
      <c r="T56" s="10"/>
      <c r="U56" s="11"/>
      <c r="V56" s="11"/>
      <c r="W56" s="11"/>
      <c r="X56" s="11"/>
      <c r="Y56" s="11"/>
      <c r="Z56" s="32"/>
      <c r="AA56" s="38"/>
      <c r="AC56" s="11"/>
      <c r="AD56" s="32"/>
    </row>
    <row r="57" spans="1:30">
      <c r="A57" s="11" t="s">
        <v>126</v>
      </c>
      <c r="B57" s="10">
        <v>45693</v>
      </c>
      <c r="C57" s="11">
        <f>MONTH(Table1[[#This Row],[Ngày]])</f>
        <v>2</v>
      </c>
      <c r="D57" s="11">
        <f t="shared" si="2"/>
        <v>1</v>
      </c>
      <c r="E57" s="11" t="s">
        <v>61</v>
      </c>
      <c r="F57" s="11" t="s">
        <v>11</v>
      </c>
      <c r="G57" s="11" t="s">
        <v>27</v>
      </c>
      <c r="H57" s="32">
        <v>14</v>
      </c>
      <c r="I57" s="38">
        <f t="shared" si="1"/>
        <v>7000000</v>
      </c>
      <c r="K57" s="11"/>
      <c r="L57" s="10"/>
      <c r="M57" s="11"/>
      <c r="N57" s="11"/>
      <c r="O57" s="11"/>
      <c r="P57" s="11"/>
      <c r="Q57" s="11"/>
      <c r="R57" s="32"/>
      <c r="S57" s="11"/>
      <c r="T57" s="10"/>
      <c r="U57" s="11"/>
      <c r="V57" s="11"/>
      <c r="W57" s="11"/>
      <c r="X57" s="11"/>
      <c r="Y57" s="11"/>
      <c r="Z57" s="32"/>
      <c r="AA57" s="38"/>
      <c r="AC57" s="11"/>
      <c r="AD57" s="32"/>
    </row>
    <row r="58" spans="1:30">
      <c r="A58" s="11" t="s">
        <v>127</v>
      </c>
      <c r="B58" s="10">
        <v>45707</v>
      </c>
      <c r="C58" s="11">
        <f>MONTH(Table1[[#This Row],[Ngày]])</f>
        <v>2</v>
      </c>
      <c r="D58" s="11">
        <f t="shared" si="2"/>
        <v>1</v>
      </c>
      <c r="E58" s="11" t="s">
        <v>64</v>
      </c>
      <c r="F58" s="11" t="s">
        <v>11</v>
      </c>
      <c r="G58" s="11" t="s">
        <v>28</v>
      </c>
      <c r="H58" s="32">
        <v>27</v>
      </c>
      <c r="I58" s="38">
        <f t="shared" si="1"/>
        <v>13500000</v>
      </c>
      <c r="K58" s="11"/>
      <c r="L58" s="10"/>
      <c r="M58" s="11"/>
      <c r="N58" s="11"/>
      <c r="O58" s="11"/>
      <c r="P58" s="11"/>
      <c r="Q58" s="11"/>
      <c r="R58" s="32"/>
      <c r="S58" s="11"/>
      <c r="T58" s="10"/>
      <c r="U58" s="11"/>
      <c r="V58" s="11"/>
      <c r="W58" s="11"/>
      <c r="X58" s="11"/>
      <c r="Y58" s="11"/>
      <c r="Z58" s="32"/>
      <c r="AA58" s="38"/>
      <c r="AC58" s="11"/>
      <c r="AD58" s="32"/>
    </row>
    <row r="59" spans="1:30">
      <c r="A59" s="11" t="s">
        <v>128</v>
      </c>
      <c r="B59" s="10">
        <v>45663</v>
      </c>
      <c r="C59" s="11">
        <f>MONTH(Table1[[#This Row],[Ngày]])</f>
        <v>1</v>
      </c>
      <c r="D59" s="11">
        <f t="shared" si="2"/>
        <v>1</v>
      </c>
      <c r="E59" s="11" t="s">
        <v>55</v>
      </c>
      <c r="F59" s="11" t="s">
        <v>9</v>
      </c>
      <c r="G59" s="11" t="s">
        <v>28</v>
      </c>
      <c r="H59" s="32">
        <v>89</v>
      </c>
      <c r="I59" s="38">
        <f t="shared" si="1"/>
        <v>31150000</v>
      </c>
      <c r="K59" s="11"/>
      <c r="L59" s="10"/>
      <c r="M59" s="11"/>
      <c r="N59" s="11"/>
      <c r="O59" s="11"/>
      <c r="P59" s="11"/>
      <c r="Q59" s="11"/>
      <c r="R59" s="32"/>
      <c r="S59" s="11"/>
      <c r="T59" s="10"/>
      <c r="U59" s="11"/>
      <c r="V59" s="11"/>
      <c r="W59" s="11"/>
      <c r="X59" s="11"/>
      <c r="Y59" s="11"/>
      <c r="Z59" s="32"/>
      <c r="AA59" s="38"/>
      <c r="AC59" s="11"/>
      <c r="AD59" s="32"/>
    </row>
    <row r="60" spans="1:30">
      <c r="A60" s="11" t="s">
        <v>129</v>
      </c>
      <c r="B60" s="10">
        <v>45692</v>
      </c>
      <c r="C60" s="11">
        <f>MONTH(Table1[[#This Row],[Ngày]])</f>
        <v>2</v>
      </c>
      <c r="D60" s="11">
        <f t="shared" si="2"/>
        <v>1</v>
      </c>
      <c r="E60" s="11" t="s">
        <v>55</v>
      </c>
      <c r="F60" s="11" t="s">
        <v>6</v>
      </c>
      <c r="G60" s="11" t="s">
        <v>28</v>
      </c>
      <c r="H60" s="32">
        <v>42</v>
      </c>
      <c r="I60" s="38">
        <f t="shared" si="1"/>
        <v>6300000</v>
      </c>
      <c r="K60" s="11"/>
      <c r="L60" s="10"/>
      <c r="M60" s="11"/>
      <c r="N60" s="11"/>
      <c r="O60" s="11"/>
      <c r="P60" s="11"/>
      <c r="Q60" s="11"/>
      <c r="R60" s="32"/>
      <c r="S60" s="11"/>
      <c r="T60" s="10"/>
      <c r="U60" s="11"/>
      <c r="V60" s="11"/>
      <c r="W60" s="11"/>
      <c r="X60" s="11"/>
      <c r="Y60" s="11"/>
      <c r="Z60" s="32"/>
      <c r="AA60" s="38"/>
      <c r="AC60" s="11"/>
      <c r="AD60" s="32"/>
    </row>
    <row r="61" spans="1:30">
      <c r="A61" s="11" t="s">
        <v>130</v>
      </c>
      <c r="B61" s="10">
        <v>45708</v>
      </c>
      <c r="C61" s="11">
        <f>MONTH(Table1[[#This Row],[Ngày]])</f>
        <v>2</v>
      </c>
      <c r="D61" s="11">
        <f t="shared" si="2"/>
        <v>1</v>
      </c>
      <c r="E61" s="11" t="s">
        <v>51</v>
      </c>
      <c r="F61" s="11" t="s">
        <v>9</v>
      </c>
      <c r="G61" s="11" t="s">
        <v>28</v>
      </c>
      <c r="H61" s="32">
        <v>58</v>
      </c>
      <c r="I61" s="38">
        <f t="shared" si="1"/>
        <v>20300000</v>
      </c>
      <c r="K61" s="11"/>
      <c r="L61" s="10"/>
      <c r="M61" s="11"/>
      <c r="N61" s="11"/>
      <c r="O61" s="11"/>
      <c r="P61" s="11"/>
      <c r="Q61" s="11"/>
      <c r="R61" s="32"/>
      <c r="S61" s="11"/>
      <c r="T61" s="10"/>
      <c r="U61" s="11"/>
      <c r="V61" s="11"/>
      <c r="W61" s="11"/>
      <c r="X61" s="11"/>
      <c r="Y61" s="11"/>
      <c r="Z61" s="32"/>
      <c r="AA61" s="38"/>
      <c r="AC61" s="11"/>
      <c r="AD61" s="32"/>
    </row>
    <row r="62" spans="1:30">
      <c r="A62" s="11" t="s">
        <v>131</v>
      </c>
      <c r="B62" s="10">
        <v>45681</v>
      </c>
      <c r="C62" s="11">
        <f>MONTH(Table1[[#This Row],[Ngày]])</f>
        <v>1</v>
      </c>
      <c r="D62" s="11">
        <f t="shared" si="2"/>
        <v>1</v>
      </c>
      <c r="E62" s="11" t="s">
        <v>64</v>
      </c>
      <c r="F62" s="11" t="s">
        <v>6</v>
      </c>
      <c r="G62" s="11" t="s">
        <v>27</v>
      </c>
      <c r="H62" s="32">
        <v>93</v>
      </c>
      <c r="I62" s="38">
        <f t="shared" si="1"/>
        <v>13950000</v>
      </c>
      <c r="K62" s="11"/>
      <c r="L62" s="10"/>
      <c r="M62" s="11"/>
      <c r="N62" s="11"/>
      <c r="O62" s="11"/>
      <c r="P62" s="11"/>
      <c r="Q62" s="11"/>
      <c r="R62" s="32"/>
      <c r="S62" s="11"/>
      <c r="T62" s="10"/>
      <c r="U62" s="11"/>
      <c r="V62" s="11"/>
      <c r="W62" s="11"/>
      <c r="X62" s="11"/>
      <c r="Y62" s="11"/>
      <c r="Z62" s="32"/>
      <c r="AA62" s="38"/>
      <c r="AC62" s="11"/>
      <c r="AD62" s="32"/>
    </row>
    <row r="63" spans="1:30">
      <c r="A63" s="11" t="s">
        <v>132</v>
      </c>
      <c r="B63" s="10">
        <v>45692</v>
      </c>
      <c r="C63" s="11">
        <f>MONTH(Table1[[#This Row],[Ngày]])</f>
        <v>2</v>
      </c>
      <c r="D63" s="11">
        <f t="shared" si="2"/>
        <v>1</v>
      </c>
      <c r="E63" s="11" t="s">
        <v>51</v>
      </c>
      <c r="F63" s="11" t="s">
        <v>9</v>
      </c>
      <c r="G63" s="11" t="s">
        <v>28</v>
      </c>
      <c r="H63" s="32">
        <v>65</v>
      </c>
      <c r="I63" s="38">
        <f t="shared" si="1"/>
        <v>22750000</v>
      </c>
      <c r="K63" s="11"/>
      <c r="L63" s="10"/>
      <c r="M63" s="11"/>
      <c r="N63" s="11"/>
      <c r="O63" s="11"/>
      <c r="P63" s="11"/>
      <c r="Q63" s="11"/>
      <c r="R63" s="32"/>
      <c r="S63" s="11"/>
      <c r="T63" s="10"/>
      <c r="U63" s="11"/>
      <c r="V63" s="11"/>
      <c r="W63" s="11"/>
      <c r="X63" s="11"/>
      <c r="Y63" s="11"/>
      <c r="Z63" s="32"/>
      <c r="AA63" s="38"/>
      <c r="AC63" s="11"/>
      <c r="AD63" s="32"/>
    </row>
    <row r="64" spans="1:30">
      <c r="A64" s="11" t="s">
        <v>133</v>
      </c>
      <c r="B64" s="10">
        <v>45691</v>
      </c>
      <c r="C64" s="11">
        <f>MONTH(Table1[[#This Row],[Ngày]])</f>
        <v>2</v>
      </c>
      <c r="D64" s="11">
        <f t="shared" si="2"/>
        <v>1</v>
      </c>
      <c r="E64" s="11" t="s">
        <v>51</v>
      </c>
      <c r="F64" s="11" t="s">
        <v>9</v>
      </c>
      <c r="G64" s="11" t="s">
        <v>27</v>
      </c>
      <c r="H64" s="32">
        <v>64</v>
      </c>
      <c r="I64" s="38">
        <f t="shared" si="1"/>
        <v>22400000</v>
      </c>
      <c r="K64" s="11"/>
      <c r="L64" s="10"/>
      <c r="M64" s="11"/>
      <c r="N64" s="11"/>
      <c r="O64" s="11"/>
      <c r="P64" s="11"/>
      <c r="Q64" s="11"/>
      <c r="R64" s="32"/>
      <c r="S64" s="11"/>
      <c r="T64" s="10"/>
      <c r="U64" s="11"/>
      <c r="V64" s="11"/>
      <c r="W64" s="11"/>
      <c r="X64" s="11"/>
      <c r="Y64" s="11"/>
      <c r="Z64" s="32"/>
      <c r="AA64" s="38"/>
      <c r="AC64" s="11"/>
      <c r="AD64" s="32"/>
    </row>
    <row r="65" spans="1:36">
      <c r="A65" s="11" t="s">
        <v>134</v>
      </c>
      <c r="B65" s="10">
        <v>45675</v>
      </c>
      <c r="C65" s="11">
        <f>MONTH(Table1[[#This Row],[Ngày]])</f>
        <v>1</v>
      </c>
      <c r="D65" s="11">
        <f t="shared" si="2"/>
        <v>1</v>
      </c>
      <c r="E65" s="11" t="s">
        <v>55</v>
      </c>
      <c r="F65" s="11" t="s">
        <v>9</v>
      </c>
      <c r="G65" s="11" t="s">
        <v>28</v>
      </c>
      <c r="H65" s="32">
        <v>19</v>
      </c>
      <c r="I65" s="38">
        <f t="shared" si="1"/>
        <v>6650000</v>
      </c>
      <c r="K65" s="11"/>
      <c r="L65" s="10"/>
      <c r="M65" s="11"/>
      <c r="N65" s="11"/>
      <c r="O65" s="11"/>
      <c r="P65" s="11"/>
      <c r="Q65" s="11"/>
      <c r="R65" s="32"/>
      <c r="S65" s="11"/>
      <c r="T65" s="10"/>
      <c r="U65" s="11"/>
      <c r="V65" s="11"/>
      <c r="W65" s="11"/>
      <c r="X65" s="11"/>
      <c r="Y65" s="11"/>
      <c r="Z65" s="32"/>
      <c r="AA65" s="38"/>
      <c r="AC65" s="11"/>
      <c r="AD65" s="32"/>
    </row>
    <row r="66" spans="1:36">
      <c r="A66" s="11" t="s">
        <v>135</v>
      </c>
      <c r="B66" s="10">
        <v>45695</v>
      </c>
      <c r="C66" s="11">
        <f>MONTH(Table1[[#This Row],[Ngày]])</f>
        <v>2</v>
      </c>
      <c r="D66" s="11">
        <f t="shared" ref="D66:D129" si="3">ROUNDUP($C66/3, 0)</f>
        <v>1</v>
      </c>
      <c r="E66" s="11" t="s">
        <v>51</v>
      </c>
      <c r="F66" s="11" t="s">
        <v>9</v>
      </c>
      <c r="G66" s="11" t="s">
        <v>28</v>
      </c>
      <c r="H66" s="32">
        <v>78</v>
      </c>
      <c r="I66" s="38">
        <f t="shared" ref="I66:I129" si="4">IF(F66="AS002", H66*350000,
IF(F66="AT001", H66*150000,
IF(F66="QT003", H66*500000, 0)))</f>
        <v>27300000</v>
      </c>
      <c r="K66" s="11"/>
      <c r="L66" s="10"/>
      <c r="M66" s="11"/>
      <c r="N66" s="11"/>
      <c r="O66" s="11"/>
      <c r="P66" s="11"/>
      <c r="Q66" s="11"/>
      <c r="R66" s="32"/>
      <c r="S66" s="11"/>
      <c r="T66" s="10"/>
      <c r="U66" s="11"/>
      <c r="V66" s="11"/>
      <c r="W66" s="11"/>
      <c r="X66" s="11"/>
      <c r="Y66" s="11"/>
      <c r="Z66" s="32"/>
      <c r="AA66" s="38"/>
      <c r="AC66" s="11"/>
      <c r="AD66" s="32"/>
    </row>
    <row r="67" spans="1:36">
      <c r="A67" s="11" t="s">
        <v>136</v>
      </c>
      <c r="B67" s="10">
        <v>45711</v>
      </c>
      <c r="C67" s="11">
        <f>MONTH(Table1[[#This Row],[Ngày]])</f>
        <v>2</v>
      </c>
      <c r="D67" s="11">
        <f t="shared" si="3"/>
        <v>1</v>
      </c>
      <c r="E67" s="11" t="s">
        <v>61</v>
      </c>
      <c r="F67" s="11" t="s">
        <v>6</v>
      </c>
      <c r="G67" s="11" t="s">
        <v>28</v>
      </c>
      <c r="H67" s="32">
        <v>100</v>
      </c>
      <c r="I67" s="38">
        <f t="shared" si="4"/>
        <v>15000000</v>
      </c>
      <c r="K67" s="11"/>
      <c r="L67" s="10"/>
      <c r="M67" s="11"/>
      <c r="N67" s="11"/>
      <c r="O67" s="11"/>
      <c r="P67" s="11"/>
      <c r="Q67" s="11"/>
      <c r="R67" s="32"/>
      <c r="S67" s="11"/>
      <c r="T67" s="10"/>
      <c r="U67" s="11"/>
      <c r="V67" s="11"/>
      <c r="W67" s="11"/>
      <c r="X67" s="11"/>
      <c r="Y67" s="11"/>
      <c r="Z67" s="32"/>
      <c r="AA67" s="38"/>
      <c r="AC67" s="11"/>
      <c r="AD67" s="32"/>
      <c r="AE67" s="16"/>
      <c r="AF67" s="16"/>
      <c r="AG67" s="15"/>
      <c r="AH67" s="15"/>
      <c r="AI67" s="15"/>
      <c r="AJ67" s="15"/>
    </row>
    <row r="68" spans="1:36">
      <c r="A68" s="11" t="s">
        <v>137</v>
      </c>
      <c r="B68" s="10">
        <v>45706</v>
      </c>
      <c r="C68" s="11">
        <f>MONTH(Table1[[#This Row],[Ngày]])</f>
        <v>2</v>
      </c>
      <c r="D68" s="11">
        <f t="shared" si="3"/>
        <v>1</v>
      </c>
      <c r="E68" s="11" t="s">
        <v>61</v>
      </c>
      <c r="F68" s="11" t="s">
        <v>6</v>
      </c>
      <c r="G68" s="11" t="s">
        <v>28</v>
      </c>
      <c r="H68" s="32">
        <v>59</v>
      </c>
      <c r="I68" s="38">
        <f t="shared" si="4"/>
        <v>8850000</v>
      </c>
      <c r="K68" s="11"/>
      <c r="L68" s="10"/>
      <c r="M68" s="11"/>
      <c r="N68" s="11"/>
      <c r="O68" s="11"/>
      <c r="P68" s="11"/>
      <c r="Q68" s="11"/>
      <c r="R68" s="32"/>
      <c r="S68" s="11"/>
      <c r="T68" s="10"/>
      <c r="U68" s="11"/>
      <c r="V68" s="11"/>
      <c r="W68" s="11"/>
      <c r="X68" s="11"/>
      <c r="Y68" s="11"/>
      <c r="Z68" s="32"/>
      <c r="AA68" s="38"/>
      <c r="AC68" s="11"/>
      <c r="AD68" s="32"/>
      <c r="AE68" s="3"/>
      <c r="AF68" s="3"/>
      <c r="AG68" s="3"/>
      <c r="AH68" s="3"/>
      <c r="AI68" s="3"/>
      <c r="AJ68" s="3"/>
    </row>
    <row r="69" spans="1:36">
      <c r="A69" s="11" t="s">
        <v>138</v>
      </c>
      <c r="B69" s="10">
        <v>45696</v>
      </c>
      <c r="C69" s="11">
        <f>MONTH(Table1[[#This Row],[Ngày]])</f>
        <v>2</v>
      </c>
      <c r="D69" s="11">
        <f t="shared" si="3"/>
        <v>1</v>
      </c>
      <c r="E69" s="11" t="s">
        <v>61</v>
      </c>
      <c r="F69" s="11" t="s">
        <v>6</v>
      </c>
      <c r="G69" s="11" t="s">
        <v>28</v>
      </c>
      <c r="H69" s="32">
        <v>32</v>
      </c>
      <c r="I69" s="38">
        <f t="shared" si="4"/>
        <v>4800000</v>
      </c>
      <c r="K69" s="11"/>
      <c r="L69" s="10"/>
      <c r="M69" s="11"/>
      <c r="N69" s="11"/>
      <c r="O69" s="11"/>
      <c r="P69" s="11"/>
      <c r="Q69" s="11"/>
      <c r="R69" s="32"/>
      <c r="S69" s="11"/>
      <c r="T69" s="10"/>
      <c r="U69" s="11"/>
      <c r="V69" s="11"/>
      <c r="W69" s="11"/>
      <c r="X69" s="11"/>
      <c r="Y69" s="11"/>
      <c r="Z69" s="32"/>
      <c r="AA69" s="38"/>
      <c r="AC69" s="11"/>
      <c r="AD69" s="32"/>
      <c r="AE69" s="3"/>
      <c r="AF69" s="3"/>
      <c r="AG69" s="3"/>
      <c r="AH69" s="3"/>
      <c r="AI69" s="3"/>
      <c r="AJ69" s="3"/>
    </row>
    <row r="70" spans="1:36">
      <c r="A70" s="11" t="s">
        <v>139</v>
      </c>
      <c r="B70" s="10">
        <v>45681</v>
      </c>
      <c r="C70" s="11">
        <f>MONTH(Table1[[#This Row],[Ngày]])</f>
        <v>1</v>
      </c>
      <c r="D70" s="11">
        <f t="shared" si="3"/>
        <v>1</v>
      </c>
      <c r="E70" s="11" t="s">
        <v>51</v>
      </c>
      <c r="F70" s="11" t="s">
        <v>6</v>
      </c>
      <c r="G70" s="11" t="s">
        <v>28</v>
      </c>
      <c r="H70" s="32">
        <v>21</v>
      </c>
      <c r="I70" s="38">
        <f t="shared" si="4"/>
        <v>3150000</v>
      </c>
      <c r="K70" s="11"/>
      <c r="L70" s="10"/>
      <c r="M70" s="11"/>
      <c r="N70" s="11"/>
      <c r="O70" s="11"/>
      <c r="P70" s="11"/>
      <c r="Q70" s="11"/>
      <c r="R70" s="32"/>
      <c r="S70" s="11"/>
      <c r="T70" s="10"/>
      <c r="U70" s="11"/>
      <c r="V70" s="11"/>
      <c r="W70" s="11"/>
      <c r="X70" s="11"/>
      <c r="Y70" s="11"/>
      <c r="Z70" s="32"/>
      <c r="AA70" s="38"/>
      <c r="AC70" s="11"/>
      <c r="AD70" s="32"/>
      <c r="AE70" s="3"/>
      <c r="AF70" s="3"/>
      <c r="AG70" s="3"/>
      <c r="AH70" s="3"/>
      <c r="AI70" s="3"/>
      <c r="AJ70" s="3"/>
    </row>
    <row r="71" spans="1:36">
      <c r="A71" s="11" t="s">
        <v>140</v>
      </c>
      <c r="B71" s="10">
        <v>45665</v>
      </c>
      <c r="C71" s="11">
        <f>MONTH(Table1[[#This Row],[Ngày]])</f>
        <v>1</v>
      </c>
      <c r="D71" s="11">
        <f t="shared" si="3"/>
        <v>1</v>
      </c>
      <c r="E71" s="11" t="s">
        <v>64</v>
      </c>
      <c r="F71" s="11" t="s">
        <v>6</v>
      </c>
      <c r="G71" s="11" t="s">
        <v>28</v>
      </c>
      <c r="H71" s="32">
        <v>54</v>
      </c>
      <c r="I71" s="38">
        <f t="shared" si="4"/>
        <v>8100000</v>
      </c>
      <c r="K71" s="11"/>
      <c r="L71" s="10"/>
      <c r="M71" s="11"/>
      <c r="N71" s="11"/>
      <c r="O71" s="11"/>
      <c r="P71" s="11"/>
      <c r="Q71" s="11"/>
      <c r="R71" s="32"/>
      <c r="S71" s="11"/>
      <c r="T71" s="10"/>
      <c r="U71" s="11"/>
      <c r="V71" s="11"/>
      <c r="W71" s="11"/>
      <c r="X71" s="11"/>
      <c r="Y71" s="11"/>
      <c r="Z71" s="32"/>
      <c r="AA71" s="38"/>
      <c r="AC71" s="11"/>
      <c r="AD71" s="32"/>
      <c r="AE71" s="3"/>
      <c r="AF71" s="3"/>
      <c r="AG71" s="3"/>
      <c r="AH71" s="3"/>
      <c r="AI71" s="3"/>
      <c r="AJ71" s="3"/>
    </row>
    <row r="72" spans="1:36">
      <c r="A72" s="11" t="s">
        <v>141</v>
      </c>
      <c r="B72" s="10">
        <v>45664</v>
      </c>
      <c r="C72" s="11">
        <f>MONTH(Table1[[#This Row],[Ngày]])</f>
        <v>1</v>
      </c>
      <c r="D72" s="11">
        <f t="shared" si="3"/>
        <v>1</v>
      </c>
      <c r="E72" s="11" t="s">
        <v>59</v>
      </c>
      <c r="F72" s="11" t="s">
        <v>11</v>
      </c>
      <c r="G72" s="11" t="s">
        <v>28</v>
      </c>
      <c r="H72" s="32">
        <v>18</v>
      </c>
      <c r="I72" s="38">
        <f t="shared" si="4"/>
        <v>9000000</v>
      </c>
      <c r="K72" s="11"/>
      <c r="L72" s="10"/>
      <c r="M72" s="11"/>
      <c r="N72" s="11"/>
      <c r="O72" s="11"/>
      <c r="P72" s="11"/>
      <c r="Q72" s="11"/>
      <c r="R72" s="32"/>
      <c r="S72" s="11"/>
      <c r="T72" s="10"/>
      <c r="U72" s="11"/>
      <c r="V72" s="11"/>
      <c r="W72" s="11"/>
      <c r="X72" s="11"/>
      <c r="Y72" s="11"/>
      <c r="Z72" s="32"/>
      <c r="AA72" s="38"/>
      <c r="AC72" s="11"/>
      <c r="AD72" s="32"/>
      <c r="AE72" s="3"/>
      <c r="AF72" s="3"/>
      <c r="AG72" s="3"/>
      <c r="AH72" s="3"/>
      <c r="AI72" s="3"/>
      <c r="AJ72" s="3"/>
    </row>
    <row r="73" spans="1:36">
      <c r="A73" s="11" t="s">
        <v>142</v>
      </c>
      <c r="B73" s="10">
        <v>45667</v>
      </c>
      <c r="C73" s="11">
        <f>MONTH(Table1[[#This Row],[Ngày]])</f>
        <v>1</v>
      </c>
      <c r="D73" s="11">
        <f t="shared" si="3"/>
        <v>1</v>
      </c>
      <c r="E73" s="11" t="s">
        <v>64</v>
      </c>
      <c r="F73" s="11" t="s">
        <v>9</v>
      </c>
      <c r="G73" s="11" t="s">
        <v>27</v>
      </c>
      <c r="H73" s="32">
        <v>91</v>
      </c>
      <c r="I73" s="38">
        <f t="shared" si="4"/>
        <v>31850000</v>
      </c>
      <c r="K73" s="11"/>
      <c r="L73" s="10"/>
      <c r="M73" s="11"/>
      <c r="N73" s="11"/>
      <c r="O73" s="11"/>
      <c r="P73" s="11"/>
      <c r="Q73" s="11"/>
      <c r="R73" s="32"/>
      <c r="S73" s="11"/>
      <c r="T73" s="10"/>
      <c r="U73" s="11"/>
      <c r="V73" s="11"/>
      <c r="W73" s="11"/>
      <c r="X73" s="11"/>
      <c r="Y73" s="11"/>
      <c r="Z73" s="32"/>
      <c r="AA73" s="38"/>
      <c r="AC73" s="11"/>
      <c r="AD73" s="32"/>
      <c r="AE73" s="3"/>
      <c r="AF73" s="3"/>
      <c r="AG73" s="3"/>
      <c r="AH73" s="3"/>
      <c r="AI73" s="3"/>
      <c r="AJ73" s="3"/>
    </row>
    <row r="74" spans="1:36">
      <c r="A74" s="11" t="s">
        <v>143</v>
      </c>
      <c r="B74" s="10">
        <v>45661</v>
      </c>
      <c r="C74" s="11">
        <f>MONTH(Table1[[#This Row],[Ngày]])</f>
        <v>1</v>
      </c>
      <c r="D74" s="11">
        <f t="shared" si="3"/>
        <v>1</v>
      </c>
      <c r="E74" s="11" t="s">
        <v>61</v>
      </c>
      <c r="F74" s="11" t="s">
        <v>6</v>
      </c>
      <c r="G74" s="11" t="s">
        <v>27</v>
      </c>
      <c r="H74" s="32">
        <v>28</v>
      </c>
      <c r="I74" s="38">
        <f t="shared" si="4"/>
        <v>4200000</v>
      </c>
      <c r="K74" s="11"/>
      <c r="L74" s="10"/>
      <c r="M74" s="11"/>
      <c r="N74" s="11"/>
      <c r="O74" s="11"/>
      <c r="P74" s="11"/>
      <c r="Q74" s="11"/>
      <c r="R74" s="32"/>
      <c r="S74" s="11"/>
      <c r="T74" s="10"/>
      <c r="U74" s="11"/>
      <c r="V74" s="11"/>
      <c r="W74" s="11"/>
      <c r="X74" s="11"/>
      <c r="Y74" s="11"/>
      <c r="Z74" s="32"/>
      <c r="AA74" s="38"/>
      <c r="AC74" s="11"/>
      <c r="AD74" s="32"/>
      <c r="AE74" s="3"/>
      <c r="AF74" s="3"/>
      <c r="AG74" s="3"/>
      <c r="AH74" s="3"/>
      <c r="AI74" s="3"/>
      <c r="AJ74" s="3"/>
    </row>
    <row r="75" spans="1:36">
      <c r="A75" s="11" t="s">
        <v>144</v>
      </c>
      <c r="B75" s="10">
        <v>45717</v>
      </c>
      <c r="C75" s="11">
        <f>MONTH(Table1[[#This Row],[Ngày]])</f>
        <v>3</v>
      </c>
      <c r="D75" s="11">
        <f t="shared" si="3"/>
        <v>1</v>
      </c>
      <c r="E75" s="11" t="s">
        <v>51</v>
      </c>
      <c r="F75" s="11" t="s">
        <v>6</v>
      </c>
      <c r="G75" s="11" t="s">
        <v>28</v>
      </c>
      <c r="H75" s="32">
        <v>88</v>
      </c>
      <c r="I75" s="38">
        <f t="shared" si="4"/>
        <v>13200000</v>
      </c>
      <c r="K75" s="11"/>
      <c r="L75" s="10"/>
      <c r="M75" s="11"/>
      <c r="N75" s="11"/>
      <c r="O75" s="11"/>
      <c r="P75" s="11"/>
      <c r="Q75" s="11"/>
      <c r="R75" s="32"/>
      <c r="S75" s="11"/>
      <c r="T75" s="10"/>
      <c r="U75" s="11"/>
      <c r="V75" s="11"/>
      <c r="W75" s="11"/>
      <c r="X75" s="11"/>
      <c r="Y75" s="11"/>
      <c r="Z75" s="32"/>
      <c r="AA75" s="38"/>
      <c r="AC75" s="11"/>
      <c r="AD75" s="32"/>
      <c r="AE75" s="3"/>
      <c r="AF75" s="3"/>
      <c r="AG75" s="3"/>
      <c r="AH75" s="3"/>
      <c r="AI75" s="3"/>
      <c r="AJ75" s="3"/>
    </row>
    <row r="76" spans="1:36">
      <c r="A76" s="11" t="s">
        <v>145</v>
      </c>
      <c r="B76" s="10">
        <v>45661</v>
      </c>
      <c r="C76" s="11">
        <f>MONTH(Table1[[#This Row],[Ngày]])</f>
        <v>1</v>
      </c>
      <c r="D76" s="11">
        <f t="shared" si="3"/>
        <v>1</v>
      </c>
      <c r="E76" s="11" t="s">
        <v>51</v>
      </c>
      <c r="F76" s="11" t="s">
        <v>9</v>
      </c>
      <c r="G76" s="11" t="s">
        <v>28</v>
      </c>
      <c r="H76" s="32">
        <v>63</v>
      </c>
      <c r="I76" s="38">
        <f t="shared" si="4"/>
        <v>22050000</v>
      </c>
      <c r="K76" s="11"/>
      <c r="L76" s="10"/>
      <c r="M76" s="11"/>
      <c r="N76" s="11"/>
      <c r="O76" s="11"/>
      <c r="P76" s="11"/>
      <c r="Q76" s="11"/>
      <c r="R76" s="32"/>
      <c r="S76" s="11"/>
      <c r="T76" s="10"/>
      <c r="U76" s="11"/>
      <c r="V76" s="11"/>
      <c r="W76" s="11"/>
      <c r="X76" s="11"/>
      <c r="Y76" s="11"/>
      <c r="Z76" s="32"/>
      <c r="AA76" s="38"/>
      <c r="AC76" s="11"/>
      <c r="AD76" s="32"/>
      <c r="AE76" s="3"/>
      <c r="AF76" s="3"/>
      <c r="AG76" s="3"/>
      <c r="AH76" s="3"/>
      <c r="AI76" s="3"/>
      <c r="AJ76" s="3"/>
    </row>
    <row r="77" spans="1:36">
      <c r="A77" s="11" t="s">
        <v>146</v>
      </c>
      <c r="B77" s="10">
        <v>45661</v>
      </c>
      <c r="C77" s="11">
        <f>MONTH(Table1[[#This Row],[Ngày]])</f>
        <v>1</v>
      </c>
      <c r="D77" s="11">
        <f t="shared" si="3"/>
        <v>1</v>
      </c>
      <c r="E77" s="11" t="s">
        <v>59</v>
      </c>
      <c r="F77" s="11" t="s">
        <v>6</v>
      </c>
      <c r="G77" s="11" t="s">
        <v>28</v>
      </c>
      <c r="H77" s="32">
        <v>82</v>
      </c>
      <c r="I77" s="38">
        <f t="shared" si="4"/>
        <v>12300000</v>
      </c>
      <c r="K77" s="11"/>
      <c r="L77" s="10"/>
      <c r="M77" s="11"/>
      <c r="N77" s="11"/>
      <c r="O77" s="11"/>
      <c r="P77" s="11"/>
      <c r="Q77" s="11"/>
      <c r="R77" s="32"/>
      <c r="S77" s="11"/>
      <c r="T77" s="10"/>
      <c r="U77" s="11"/>
      <c r="V77" s="11"/>
      <c r="W77" s="11"/>
      <c r="X77" s="11"/>
      <c r="Y77" s="11"/>
      <c r="Z77" s="32"/>
      <c r="AA77" s="38"/>
      <c r="AC77" s="11"/>
      <c r="AD77" s="32"/>
      <c r="AE77" s="3"/>
      <c r="AF77" s="3"/>
      <c r="AG77" s="3"/>
      <c r="AH77" s="3"/>
      <c r="AI77" s="3"/>
      <c r="AJ77" s="3"/>
    </row>
    <row r="78" spans="1:36">
      <c r="A78" s="11" t="s">
        <v>147</v>
      </c>
      <c r="B78" s="10">
        <v>45680</v>
      </c>
      <c r="C78" s="11">
        <f>MONTH(Table1[[#This Row],[Ngày]])</f>
        <v>1</v>
      </c>
      <c r="D78" s="11">
        <f t="shared" si="3"/>
        <v>1</v>
      </c>
      <c r="E78" s="11" t="s">
        <v>64</v>
      </c>
      <c r="F78" s="11" t="s">
        <v>11</v>
      </c>
      <c r="G78" s="11" t="s">
        <v>27</v>
      </c>
      <c r="H78" s="32">
        <v>66</v>
      </c>
      <c r="I78" s="38">
        <f t="shared" si="4"/>
        <v>33000000</v>
      </c>
      <c r="K78" s="11"/>
      <c r="L78" s="10"/>
      <c r="M78" s="11"/>
      <c r="N78" s="11"/>
      <c r="O78" s="11"/>
      <c r="P78" s="11"/>
      <c r="Q78" s="11"/>
      <c r="R78" s="32"/>
      <c r="S78" s="11"/>
      <c r="T78" s="10"/>
      <c r="U78" s="11"/>
      <c r="V78" s="11"/>
      <c r="W78" s="11"/>
      <c r="X78" s="11"/>
      <c r="Y78" s="11"/>
      <c r="Z78" s="32"/>
      <c r="AA78" s="38"/>
      <c r="AC78" s="11"/>
      <c r="AD78" s="32"/>
      <c r="AE78" s="3"/>
      <c r="AF78" s="3"/>
      <c r="AG78" s="3"/>
      <c r="AH78" s="3"/>
      <c r="AI78" s="3"/>
      <c r="AJ78" s="3"/>
    </row>
    <row r="79" spans="1:36">
      <c r="A79" s="11" t="s">
        <v>148</v>
      </c>
      <c r="B79" s="10">
        <v>45699</v>
      </c>
      <c r="C79" s="11">
        <f>MONTH(Table1[[#This Row],[Ngày]])</f>
        <v>2</v>
      </c>
      <c r="D79" s="11">
        <f t="shared" si="3"/>
        <v>1</v>
      </c>
      <c r="E79" s="11" t="s">
        <v>55</v>
      </c>
      <c r="F79" s="11" t="s">
        <v>9</v>
      </c>
      <c r="G79" s="11" t="s">
        <v>27</v>
      </c>
      <c r="H79" s="32">
        <v>85</v>
      </c>
      <c r="I79" s="38">
        <f t="shared" si="4"/>
        <v>29750000</v>
      </c>
      <c r="K79" s="11"/>
      <c r="L79" s="10"/>
      <c r="M79" s="11"/>
      <c r="N79" s="11"/>
      <c r="O79" s="11"/>
      <c r="P79" s="11"/>
      <c r="Q79" s="11"/>
      <c r="R79" s="32"/>
      <c r="S79" s="11"/>
      <c r="T79" s="10"/>
      <c r="U79" s="11"/>
      <c r="V79" s="11"/>
      <c r="W79" s="11"/>
      <c r="X79" s="11"/>
      <c r="Y79" s="11"/>
      <c r="Z79" s="32"/>
      <c r="AA79" s="38"/>
      <c r="AC79" s="11"/>
      <c r="AD79" s="32"/>
      <c r="AE79" s="3"/>
      <c r="AF79" s="3"/>
      <c r="AG79" s="3"/>
      <c r="AH79" s="3"/>
      <c r="AI79" s="3"/>
      <c r="AJ79" s="3"/>
    </row>
    <row r="80" spans="1:36">
      <c r="A80" s="11" t="s">
        <v>149</v>
      </c>
      <c r="B80" s="10">
        <v>45688</v>
      </c>
      <c r="C80" s="11">
        <f>MONTH(Table1[[#This Row],[Ngày]])</f>
        <v>1</v>
      </c>
      <c r="D80" s="11">
        <f t="shared" si="3"/>
        <v>1</v>
      </c>
      <c r="E80" s="11" t="s">
        <v>51</v>
      </c>
      <c r="F80" s="11" t="s">
        <v>6</v>
      </c>
      <c r="G80" s="11" t="s">
        <v>27</v>
      </c>
      <c r="H80" s="32">
        <v>45</v>
      </c>
      <c r="I80" s="38">
        <f t="shared" si="4"/>
        <v>6750000</v>
      </c>
      <c r="K80" s="11"/>
      <c r="L80" s="10"/>
      <c r="M80" s="11"/>
      <c r="N80" s="11"/>
      <c r="O80" s="11"/>
      <c r="P80" s="11"/>
      <c r="Q80" s="11"/>
      <c r="R80" s="32"/>
      <c r="S80" s="11"/>
      <c r="T80" s="10"/>
      <c r="U80" s="11"/>
      <c r="V80" s="11"/>
      <c r="W80" s="11"/>
      <c r="X80" s="11"/>
      <c r="Y80" s="11"/>
      <c r="Z80" s="32"/>
      <c r="AA80" s="38"/>
      <c r="AC80" s="11"/>
      <c r="AD80" s="32"/>
      <c r="AE80" s="3"/>
      <c r="AF80" s="3"/>
      <c r="AG80" s="3"/>
      <c r="AH80" s="3"/>
      <c r="AI80" s="3"/>
      <c r="AJ80" s="3"/>
    </row>
    <row r="81" spans="1:36">
      <c r="A81" s="11" t="s">
        <v>150</v>
      </c>
      <c r="B81" s="10">
        <v>45680</v>
      </c>
      <c r="C81" s="11">
        <f>MONTH(Table1[[#This Row],[Ngày]])</f>
        <v>1</v>
      </c>
      <c r="D81" s="11">
        <f t="shared" si="3"/>
        <v>1</v>
      </c>
      <c r="E81" s="11" t="s">
        <v>59</v>
      </c>
      <c r="F81" s="11" t="s">
        <v>6</v>
      </c>
      <c r="G81" s="11" t="s">
        <v>28</v>
      </c>
      <c r="H81" s="32">
        <v>41</v>
      </c>
      <c r="I81" s="38">
        <f t="shared" si="4"/>
        <v>6150000</v>
      </c>
      <c r="K81" s="11"/>
      <c r="L81" s="10"/>
      <c r="M81" s="11"/>
      <c r="N81" s="11"/>
      <c r="O81" s="11"/>
      <c r="P81" s="11"/>
      <c r="Q81" s="11"/>
      <c r="R81" s="32"/>
      <c r="S81" s="11"/>
      <c r="T81" s="10"/>
      <c r="U81" s="11"/>
      <c r="V81" s="11"/>
      <c r="W81" s="11"/>
      <c r="X81" s="11"/>
      <c r="Y81" s="11"/>
      <c r="Z81" s="32"/>
      <c r="AA81" s="38"/>
      <c r="AC81" s="11"/>
      <c r="AD81" s="32"/>
      <c r="AE81" s="3"/>
      <c r="AF81" s="3"/>
      <c r="AG81" s="3"/>
      <c r="AH81" s="3"/>
      <c r="AI81" s="3"/>
      <c r="AJ81" s="3"/>
    </row>
    <row r="82" spans="1:36">
      <c r="A82" s="11" t="s">
        <v>151</v>
      </c>
      <c r="B82" s="10">
        <v>45661</v>
      </c>
      <c r="C82" s="11">
        <f>MONTH(Table1[[#This Row],[Ngày]])</f>
        <v>1</v>
      </c>
      <c r="D82" s="11">
        <f t="shared" si="3"/>
        <v>1</v>
      </c>
      <c r="E82" s="11" t="s">
        <v>55</v>
      </c>
      <c r="F82" s="11" t="s">
        <v>9</v>
      </c>
      <c r="G82" s="11" t="s">
        <v>27</v>
      </c>
      <c r="H82" s="32">
        <v>23</v>
      </c>
      <c r="I82" s="38">
        <f t="shared" si="4"/>
        <v>8050000</v>
      </c>
      <c r="K82" s="11"/>
      <c r="L82" s="10"/>
      <c r="M82" s="11"/>
      <c r="N82" s="11"/>
      <c r="O82" s="11"/>
      <c r="P82" s="11"/>
      <c r="Q82" s="11"/>
      <c r="R82" s="32"/>
      <c r="S82" s="11"/>
      <c r="T82" s="10"/>
      <c r="U82" s="11"/>
      <c r="V82" s="11"/>
      <c r="W82" s="11"/>
      <c r="X82" s="11"/>
      <c r="Y82" s="11"/>
      <c r="Z82" s="32"/>
      <c r="AA82" s="38"/>
      <c r="AC82" s="11"/>
      <c r="AD82" s="32"/>
      <c r="AE82" s="3"/>
      <c r="AF82" s="3"/>
      <c r="AG82" s="3"/>
      <c r="AH82" s="3"/>
      <c r="AI82" s="3"/>
      <c r="AJ82" s="3"/>
    </row>
    <row r="83" spans="1:36">
      <c r="A83" s="11" t="s">
        <v>152</v>
      </c>
      <c r="B83" s="10">
        <v>45681</v>
      </c>
      <c r="C83" s="11">
        <f>MONTH(Table1[[#This Row],[Ngày]])</f>
        <v>1</v>
      </c>
      <c r="D83" s="11">
        <f t="shared" si="3"/>
        <v>1</v>
      </c>
      <c r="E83" s="11" t="s">
        <v>61</v>
      </c>
      <c r="F83" s="11" t="s">
        <v>9</v>
      </c>
      <c r="G83" s="11" t="s">
        <v>27</v>
      </c>
      <c r="H83" s="32">
        <v>11</v>
      </c>
      <c r="I83" s="38">
        <f t="shared" si="4"/>
        <v>3850000</v>
      </c>
      <c r="K83" s="11"/>
      <c r="L83" s="10"/>
      <c r="M83" s="11"/>
      <c r="N83" s="11"/>
      <c r="O83" s="11"/>
      <c r="P83" s="11"/>
      <c r="Q83" s="11"/>
      <c r="R83" s="32"/>
      <c r="S83" s="11"/>
      <c r="T83" s="10"/>
      <c r="U83" s="11"/>
      <c r="V83" s="11"/>
      <c r="W83" s="11"/>
      <c r="X83" s="11"/>
      <c r="Y83" s="11"/>
      <c r="Z83" s="32"/>
      <c r="AA83" s="38"/>
      <c r="AC83" s="11"/>
      <c r="AD83" s="32"/>
      <c r="AE83" s="3"/>
      <c r="AF83" s="3"/>
      <c r="AG83" s="3"/>
      <c r="AH83" s="3"/>
      <c r="AI83" s="3"/>
      <c r="AJ83" s="3"/>
    </row>
    <row r="84" spans="1:36">
      <c r="A84" s="11" t="s">
        <v>153</v>
      </c>
      <c r="B84" s="10">
        <v>45673</v>
      </c>
      <c r="C84" s="11">
        <f>MONTH(Table1[[#This Row],[Ngày]])</f>
        <v>1</v>
      </c>
      <c r="D84" s="11">
        <f t="shared" si="3"/>
        <v>1</v>
      </c>
      <c r="E84" s="11" t="s">
        <v>55</v>
      </c>
      <c r="F84" s="11" t="s">
        <v>9</v>
      </c>
      <c r="G84" s="11" t="s">
        <v>27</v>
      </c>
      <c r="H84" s="32">
        <v>27</v>
      </c>
      <c r="I84" s="38">
        <f t="shared" si="4"/>
        <v>9450000</v>
      </c>
      <c r="K84" s="11"/>
      <c r="L84" s="10"/>
      <c r="M84" s="11"/>
      <c r="N84" s="11"/>
      <c r="O84" s="11"/>
      <c r="P84" s="11"/>
      <c r="Q84" s="11"/>
      <c r="R84" s="32"/>
      <c r="S84" s="11"/>
      <c r="T84" s="10"/>
      <c r="U84" s="11"/>
      <c r="V84" s="11"/>
      <c r="W84" s="11"/>
      <c r="X84" s="11"/>
      <c r="Y84" s="11"/>
      <c r="Z84" s="32"/>
      <c r="AA84" s="38"/>
      <c r="AC84" s="11"/>
      <c r="AD84" s="32"/>
      <c r="AE84" s="3"/>
      <c r="AF84" s="3"/>
      <c r="AG84" s="3"/>
      <c r="AH84" s="3"/>
      <c r="AI84" s="3"/>
      <c r="AJ84" s="3"/>
    </row>
    <row r="85" spans="1:36">
      <c r="A85" s="11" t="s">
        <v>154</v>
      </c>
      <c r="B85" s="10">
        <v>45718</v>
      </c>
      <c r="C85" s="11">
        <f>MONTH(Table1[[#This Row],[Ngày]])</f>
        <v>3</v>
      </c>
      <c r="D85" s="11">
        <f t="shared" si="3"/>
        <v>1</v>
      </c>
      <c r="E85" s="11" t="s">
        <v>61</v>
      </c>
      <c r="F85" s="11" t="s">
        <v>6</v>
      </c>
      <c r="G85" s="11" t="s">
        <v>28</v>
      </c>
      <c r="H85" s="32">
        <v>63</v>
      </c>
      <c r="I85" s="38">
        <f t="shared" si="4"/>
        <v>9450000</v>
      </c>
      <c r="K85" s="11"/>
      <c r="L85" s="10"/>
      <c r="M85" s="11"/>
      <c r="N85" s="11"/>
      <c r="O85" s="11"/>
      <c r="P85" s="11"/>
      <c r="Q85" s="11"/>
      <c r="R85" s="32"/>
      <c r="S85" s="11"/>
      <c r="T85" s="10"/>
      <c r="U85" s="11"/>
      <c r="V85" s="11"/>
      <c r="W85" s="11"/>
      <c r="X85" s="11"/>
      <c r="Y85" s="11"/>
      <c r="Z85" s="32"/>
      <c r="AA85" s="38"/>
      <c r="AC85" s="11"/>
      <c r="AD85" s="32"/>
      <c r="AE85" s="3"/>
      <c r="AF85" s="3"/>
      <c r="AG85" s="3"/>
      <c r="AH85" s="3"/>
      <c r="AI85" s="3"/>
      <c r="AJ85" s="3"/>
    </row>
    <row r="86" spans="1:36">
      <c r="A86" s="11" t="s">
        <v>155</v>
      </c>
      <c r="B86" s="10">
        <v>45688</v>
      </c>
      <c r="C86" s="11">
        <f>MONTH(Table1[[#This Row],[Ngày]])</f>
        <v>1</v>
      </c>
      <c r="D86" s="11">
        <f t="shared" si="3"/>
        <v>1</v>
      </c>
      <c r="E86" s="11" t="s">
        <v>51</v>
      </c>
      <c r="F86" s="11" t="s">
        <v>6</v>
      </c>
      <c r="G86" s="11" t="s">
        <v>27</v>
      </c>
      <c r="H86" s="32">
        <v>37</v>
      </c>
      <c r="I86" s="38">
        <f t="shared" si="4"/>
        <v>5550000</v>
      </c>
      <c r="K86" s="11"/>
      <c r="L86" s="10"/>
      <c r="M86" s="11"/>
      <c r="N86" s="11"/>
      <c r="O86" s="11"/>
      <c r="P86" s="11"/>
      <c r="Q86" s="11"/>
      <c r="R86" s="32"/>
      <c r="S86" s="11"/>
      <c r="T86" s="10"/>
      <c r="U86" s="11"/>
      <c r="V86" s="11"/>
      <c r="W86" s="11"/>
      <c r="X86" s="11"/>
      <c r="Y86" s="11"/>
      <c r="Z86" s="32"/>
      <c r="AA86" s="38"/>
      <c r="AC86" s="11"/>
      <c r="AD86" s="32"/>
      <c r="AE86" s="3"/>
      <c r="AF86" s="3"/>
      <c r="AG86" s="3"/>
      <c r="AH86" s="3"/>
      <c r="AI86" s="3"/>
      <c r="AJ86" s="3"/>
    </row>
    <row r="87" spans="1:36">
      <c r="A87" s="11" t="s">
        <v>156</v>
      </c>
      <c r="B87" s="10">
        <v>45672</v>
      </c>
      <c r="C87" s="11">
        <f>MONTH(Table1[[#This Row],[Ngày]])</f>
        <v>1</v>
      </c>
      <c r="D87" s="11">
        <f t="shared" si="3"/>
        <v>1</v>
      </c>
      <c r="E87" s="11" t="s">
        <v>55</v>
      </c>
      <c r="F87" s="11" t="s">
        <v>9</v>
      </c>
      <c r="G87" s="11" t="s">
        <v>27</v>
      </c>
      <c r="H87" s="32">
        <v>64</v>
      </c>
      <c r="I87" s="38">
        <f t="shared" si="4"/>
        <v>22400000</v>
      </c>
      <c r="K87" s="11"/>
      <c r="L87" s="10"/>
      <c r="M87" s="11"/>
      <c r="N87" s="11"/>
      <c r="O87" s="11"/>
      <c r="P87" s="11"/>
      <c r="Q87" s="11"/>
      <c r="R87" s="32"/>
      <c r="S87" s="11"/>
      <c r="T87" s="10"/>
      <c r="U87" s="11"/>
      <c r="V87" s="11"/>
      <c r="W87" s="11"/>
      <c r="X87" s="11"/>
      <c r="Y87" s="11"/>
      <c r="Z87" s="32"/>
      <c r="AA87" s="38"/>
      <c r="AC87" s="11"/>
      <c r="AD87" s="32"/>
      <c r="AE87" s="3"/>
      <c r="AF87" s="3"/>
      <c r="AG87" s="3"/>
      <c r="AH87" s="3"/>
      <c r="AI87" s="3"/>
      <c r="AJ87" s="3"/>
    </row>
    <row r="88" spans="1:36">
      <c r="A88" s="11" t="s">
        <v>157</v>
      </c>
      <c r="B88" s="10">
        <v>45661</v>
      </c>
      <c r="C88" s="11">
        <f>MONTH(Table1[[#This Row],[Ngày]])</f>
        <v>1</v>
      </c>
      <c r="D88" s="11">
        <f t="shared" si="3"/>
        <v>1</v>
      </c>
      <c r="E88" s="11" t="s">
        <v>55</v>
      </c>
      <c r="F88" s="11" t="s">
        <v>11</v>
      </c>
      <c r="G88" s="11" t="s">
        <v>28</v>
      </c>
      <c r="H88" s="32">
        <v>13</v>
      </c>
      <c r="I88" s="38">
        <f t="shared" si="4"/>
        <v>6500000</v>
      </c>
      <c r="K88" s="11"/>
      <c r="L88" s="10"/>
      <c r="M88" s="11"/>
      <c r="N88" s="11"/>
      <c r="O88" s="11"/>
      <c r="P88" s="11"/>
      <c r="Q88" s="11"/>
      <c r="R88" s="32"/>
      <c r="S88" s="11"/>
      <c r="T88" s="10"/>
      <c r="U88" s="11"/>
      <c r="V88" s="11"/>
      <c r="W88" s="11"/>
      <c r="X88" s="11"/>
      <c r="Y88" s="11"/>
      <c r="Z88" s="32"/>
      <c r="AA88" s="38"/>
      <c r="AC88" s="11"/>
      <c r="AD88" s="32"/>
      <c r="AE88" s="3"/>
      <c r="AF88" s="3"/>
      <c r="AG88" s="3"/>
      <c r="AH88" s="3"/>
      <c r="AI88" s="3"/>
      <c r="AJ88" s="3"/>
    </row>
    <row r="89" spans="1:36">
      <c r="A89" s="11" t="s">
        <v>158</v>
      </c>
      <c r="B89" s="10">
        <v>45718</v>
      </c>
      <c r="C89" s="11">
        <f>MONTH(Table1[[#This Row],[Ngày]])</f>
        <v>3</v>
      </c>
      <c r="D89" s="11">
        <f t="shared" si="3"/>
        <v>1</v>
      </c>
      <c r="E89" s="11" t="s">
        <v>55</v>
      </c>
      <c r="F89" s="11" t="s">
        <v>9</v>
      </c>
      <c r="G89" s="11" t="s">
        <v>27</v>
      </c>
      <c r="H89" s="32">
        <v>36</v>
      </c>
      <c r="I89" s="38">
        <f t="shared" si="4"/>
        <v>12600000</v>
      </c>
      <c r="K89" s="11"/>
      <c r="L89" s="10"/>
      <c r="M89" s="11"/>
      <c r="N89" s="11"/>
      <c r="O89" s="11"/>
      <c r="P89" s="11"/>
      <c r="Q89" s="11"/>
      <c r="R89" s="32"/>
      <c r="S89" s="11"/>
      <c r="T89" s="10"/>
      <c r="U89" s="11"/>
      <c r="V89" s="11"/>
      <c r="W89" s="11"/>
      <c r="X89" s="11"/>
      <c r="Y89" s="11"/>
      <c r="Z89" s="32"/>
      <c r="AA89" s="38"/>
      <c r="AC89" s="11"/>
      <c r="AD89" s="32"/>
      <c r="AE89" s="3"/>
      <c r="AF89" s="3"/>
      <c r="AG89" s="3"/>
      <c r="AH89" s="3"/>
      <c r="AI89" s="3"/>
      <c r="AJ89" s="3"/>
    </row>
    <row r="90" spans="1:36">
      <c r="A90" s="11" t="s">
        <v>159</v>
      </c>
      <c r="B90" s="10">
        <v>45717</v>
      </c>
      <c r="C90" s="11">
        <f>MONTH(Table1[[#This Row],[Ngày]])</f>
        <v>3</v>
      </c>
      <c r="D90" s="11">
        <f t="shared" si="3"/>
        <v>1</v>
      </c>
      <c r="E90" s="11" t="s">
        <v>51</v>
      </c>
      <c r="F90" s="11" t="s">
        <v>6</v>
      </c>
      <c r="G90" s="11" t="s">
        <v>28</v>
      </c>
      <c r="H90" s="32">
        <v>81</v>
      </c>
      <c r="I90" s="38">
        <f t="shared" si="4"/>
        <v>12150000</v>
      </c>
      <c r="K90" s="11"/>
      <c r="L90" s="10"/>
      <c r="M90" s="11"/>
      <c r="N90" s="11"/>
      <c r="O90" s="11"/>
      <c r="P90" s="11"/>
      <c r="Q90" s="11"/>
      <c r="R90" s="32"/>
      <c r="S90" s="11"/>
      <c r="T90" s="10"/>
      <c r="U90" s="11"/>
      <c r="V90" s="11"/>
      <c r="W90" s="11"/>
      <c r="X90" s="11"/>
      <c r="Y90" s="11"/>
      <c r="Z90" s="32"/>
      <c r="AA90" s="38"/>
      <c r="AC90" s="11"/>
      <c r="AD90" s="32"/>
      <c r="AE90" s="3"/>
      <c r="AF90" s="3"/>
      <c r="AG90" s="3"/>
      <c r="AH90" s="3"/>
      <c r="AI90" s="3"/>
      <c r="AJ90" s="3"/>
    </row>
    <row r="91" spans="1:36">
      <c r="A91" s="11" t="s">
        <v>160</v>
      </c>
      <c r="B91" s="10">
        <v>45659</v>
      </c>
      <c r="C91" s="11">
        <f>MONTH(Table1[[#This Row],[Ngày]])</f>
        <v>1</v>
      </c>
      <c r="D91" s="11">
        <f t="shared" si="3"/>
        <v>1</v>
      </c>
      <c r="E91" s="11" t="s">
        <v>51</v>
      </c>
      <c r="F91" s="11" t="s">
        <v>11</v>
      </c>
      <c r="G91" s="11" t="s">
        <v>27</v>
      </c>
      <c r="H91" s="32">
        <v>82</v>
      </c>
      <c r="I91" s="38">
        <f t="shared" si="4"/>
        <v>41000000</v>
      </c>
      <c r="K91" s="11"/>
      <c r="L91" s="10"/>
      <c r="M91" s="11"/>
      <c r="N91" s="11"/>
      <c r="O91" s="11"/>
      <c r="P91" s="11"/>
      <c r="Q91" s="11"/>
      <c r="R91" s="32"/>
      <c r="S91" s="11"/>
      <c r="T91" s="10"/>
      <c r="U91" s="11"/>
      <c r="V91" s="11"/>
      <c r="W91" s="11"/>
      <c r="X91" s="11"/>
      <c r="Y91" s="11"/>
      <c r="Z91" s="32"/>
      <c r="AA91" s="38"/>
      <c r="AC91" s="11"/>
      <c r="AD91" s="32"/>
      <c r="AE91" s="3"/>
      <c r="AF91" s="3"/>
      <c r="AG91" s="3"/>
      <c r="AH91" s="3"/>
      <c r="AI91" s="3"/>
      <c r="AJ91" s="3"/>
    </row>
    <row r="92" spans="1:36">
      <c r="A92" s="11" t="s">
        <v>161</v>
      </c>
      <c r="B92" s="10">
        <v>45688</v>
      </c>
      <c r="C92" s="11">
        <f>MONTH(Table1[[#This Row],[Ngày]])</f>
        <v>1</v>
      </c>
      <c r="D92" s="11">
        <f t="shared" si="3"/>
        <v>1</v>
      </c>
      <c r="E92" s="11" t="s">
        <v>64</v>
      </c>
      <c r="F92" s="11" t="s">
        <v>6</v>
      </c>
      <c r="G92" s="11" t="s">
        <v>28</v>
      </c>
      <c r="H92" s="32">
        <v>77</v>
      </c>
      <c r="I92" s="38">
        <f t="shared" si="4"/>
        <v>11550000</v>
      </c>
      <c r="K92" s="11"/>
      <c r="L92" s="10"/>
      <c r="M92" s="11"/>
      <c r="N92" s="11"/>
      <c r="O92" s="11"/>
      <c r="P92" s="11"/>
      <c r="Q92" s="11"/>
      <c r="R92" s="32"/>
      <c r="S92" s="11"/>
      <c r="T92" s="10"/>
      <c r="U92" s="11"/>
      <c r="V92" s="11"/>
      <c r="W92" s="11"/>
      <c r="X92" s="11"/>
      <c r="Y92" s="11"/>
      <c r="Z92" s="32"/>
      <c r="AA92" s="38"/>
      <c r="AC92" s="11"/>
      <c r="AD92" s="32"/>
      <c r="AE92" s="3"/>
      <c r="AF92" s="3"/>
      <c r="AG92" s="3"/>
      <c r="AH92" s="3"/>
      <c r="AI92" s="3"/>
      <c r="AJ92" s="3"/>
    </row>
    <row r="93" spans="1:36">
      <c r="A93" s="11" t="s">
        <v>162</v>
      </c>
      <c r="B93" s="10">
        <v>45683</v>
      </c>
      <c r="C93" s="11">
        <f>MONTH(Table1[[#This Row],[Ngày]])</f>
        <v>1</v>
      </c>
      <c r="D93" s="11">
        <f t="shared" si="3"/>
        <v>1</v>
      </c>
      <c r="E93" s="11" t="s">
        <v>59</v>
      </c>
      <c r="F93" s="11" t="s">
        <v>11</v>
      </c>
      <c r="G93" s="11" t="s">
        <v>28</v>
      </c>
      <c r="H93" s="32">
        <v>42</v>
      </c>
      <c r="I93" s="38">
        <f t="shared" si="4"/>
        <v>21000000</v>
      </c>
      <c r="K93" s="11"/>
      <c r="L93" s="10"/>
      <c r="M93" s="11"/>
      <c r="N93" s="11"/>
      <c r="O93" s="11"/>
      <c r="P93" s="11"/>
      <c r="Q93" s="11"/>
      <c r="R93" s="32"/>
      <c r="S93" s="11"/>
      <c r="T93" s="10"/>
      <c r="U93" s="11"/>
      <c r="V93" s="11"/>
      <c r="W93" s="11"/>
      <c r="X93" s="11"/>
      <c r="Y93" s="11"/>
      <c r="Z93" s="32"/>
      <c r="AA93" s="38"/>
      <c r="AC93" s="11"/>
      <c r="AD93" s="32"/>
      <c r="AE93" s="3"/>
      <c r="AF93" s="3"/>
      <c r="AG93" s="3"/>
      <c r="AH93" s="3"/>
      <c r="AI93" s="3"/>
      <c r="AJ93" s="3"/>
    </row>
    <row r="94" spans="1:36">
      <c r="A94" s="11" t="s">
        <v>163</v>
      </c>
      <c r="B94" s="10">
        <v>45708</v>
      </c>
      <c r="C94" s="11">
        <f>MONTH(Table1[[#This Row],[Ngày]])</f>
        <v>2</v>
      </c>
      <c r="D94" s="11">
        <f t="shared" si="3"/>
        <v>1</v>
      </c>
      <c r="E94" s="11" t="s">
        <v>64</v>
      </c>
      <c r="F94" s="11" t="s">
        <v>6</v>
      </c>
      <c r="G94" s="11" t="s">
        <v>27</v>
      </c>
      <c r="H94" s="32">
        <v>98</v>
      </c>
      <c r="I94" s="38">
        <f t="shared" si="4"/>
        <v>14700000</v>
      </c>
      <c r="K94" s="11"/>
      <c r="L94" s="10"/>
      <c r="M94" s="11"/>
      <c r="N94" s="11"/>
      <c r="O94" s="11"/>
      <c r="P94" s="11"/>
      <c r="Q94" s="11"/>
      <c r="R94" s="32"/>
      <c r="S94" s="11"/>
      <c r="T94" s="10"/>
      <c r="U94" s="11"/>
      <c r="V94" s="11"/>
      <c r="W94" s="11"/>
      <c r="X94" s="11"/>
      <c r="Y94" s="11"/>
      <c r="Z94" s="32"/>
      <c r="AA94" s="38"/>
      <c r="AC94" s="11"/>
      <c r="AD94" s="32"/>
      <c r="AE94" s="3"/>
      <c r="AF94" s="3"/>
      <c r="AG94" s="3"/>
      <c r="AH94" s="3"/>
      <c r="AI94" s="3"/>
      <c r="AJ94" s="3"/>
    </row>
    <row r="95" spans="1:36">
      <c r="A95" s="11" t="s">
        <v>164</v>
      </c>
      <c r="B95" s="10">
        <v>45713</v>
      </c>
      <c r="C95" s="11">
        <f>MONTH(Table1[[#This Row],[Ngày]])</f>
        <v>2</v>
      </c>
      <c r="D95" s="11">
        <f t="shared" si="3"/>
        <v>1</v>
      </c>
      <c r="E95" s="11" t="s">
        <v>64</v>
      </c>
      <c r="F95" s="11" t="s">
        <v>9</v>
      </c>
      <c r="G95" s="11" t="s">
        <v>27</v>
      </c>
      <c r="H95" s="32">
        <v>49</v>
      </c>
      <c r="I95" s="38">
        <f t="shared" si="4"/>
        <v>17150000</v>
      </c>
      <c r="K95" s="11"/>
      <c r="L95" s="10"/>
      <c r="M95" s="11"/>
      <c r="N95" s="11"/>
      <c r="O95" s="11"/>
      <c r="P95" s="11"/>
      <c r="Q95" s="11"/>
      <c r="R95" s="32"/>
      <c r="S95" s="11"/>
      <c r="T95" s="10"/>
      <c r="U95" s="11"/>
      <c r="V95" s="11"/>
      <c r="W95" s="11"/>
      <c r="X95" s="11"/>
      <c r="Y95" s="11"/>
      <c r="Z95" s="32"/>
      <c r="AA95" s="38"/>
      <c r="AC95" s="11"/>
      <c r="AD95" s="32"/>
      <c r="AE95" s="3"/>
      <c r="AF95" s="3"/>
      <c r="AG95" s="3"/>
      <c r="AH95" s="3"/>
      <c r="AI95" s="3"/>
      <c r="AJ95" s="3"/>
    </row>
    <row r="96" spans="1:36">
      <c r="A96" s="11" t="s">
        <v>165</v>
      </c>
      <c r="B96" s="10">
        <v>45671</v>
      </c>
      <c r="C96" s="11">
        <f>MONTH(Table1[[#This Row],[Ngày]])</f>
        <v>1</v>
      </c>
      <c r="D96" s="11">
        <f t="shared" si="3"/>
        <v>1</v>
      </c>
      <c r="E96" s="11" t="s">
        <v>55</v>
      </c>
      <c r="F96" s="11" t="s">
        <v>11</v>
      </c>
      <c r="G96" s="11" t="s">
        <v>27</v>
      </c>
      <c r="H96" s="32">
        <v>92</v>
      </c>
      <c r="I96" s="38">
        <f t="shared" si="4"/>
        <v>46000000</v>
      </c>
      <c r="K96" s="11"/>
      <c r="L96" s="10"/>
      <c r="M96" s="11"/>
      <c r="N96" s="11"/>
      <c r="O96" s="11"/>
      <c r="P96" s="11"/>
      <c r="Q96" s="11"/>
      <c r="R96" s="32"/>
      <c r="S96" s="11"/>
      <c r="T96" s="10"/>
      <c r="U96" s="11"/>
      <c r="V96" s="11"/>
      <c r="W96" s="11"/>
      <c r="X96" s="11"/>
      <c r="Y96" s="11"/>
      <c r="Z96" s="32"/>
      <c r="AA96" s="38"/>
      <c r="AC96" s="11"/>
      <c r="AD96" s="32"/>
      <c r="AE96" s="3"/>
      <c r="AF96" s="3"/>
      <c r="AG96" s="3"/>
      <c r="AH96" s="3"/>
      <c r="AI96" s="3"/>
      <c r="AJ96" s="3"/>
    </row>
    <row r="97" spans="1:36">
      <c r="A97" s="11" t="s">
        <v>166</v>
      </c>
      <c r="B97" s="10">
        <v>45712</v>
      </c>
      <c r="C97" s="11">
        <f>MONTH(Table1[[#This Row],[Ngày]])</f>
        <v>2</v>
      </c>
      <c r="D97" s="11">
        <f t="shared" si="3"/>
        <v>1</v>
      </c>
      <c r="E97" s="11" t="s">
        <v>59</v>
      </c>
      <c r="F97" s="11" t="s">
        <v>11</v>
      </c>
      <c r="G97" s="11" t="s">
        <v>28</v>
      </c>
      <c r="H97" s="32">
        <v>53</v>
      </c>
      <c r="I97" s="38">
        <f t="shared" si="4"/>
        <v>26500000</v>
      </c>
      <c r="K97" s="11"/>
      <c r="L97" s="10"/>
      <c r="M97" s="11"/>
      <c r="N97" s="11"/>
      <c r="O97" s="11"/>
      <c r="P97" s="11"/>
      <c r="Q97" s="11"/>
      <c r="R97" s="32"/>
      <c r="S97" s="11"/>
      <c r="T97" s="10"/>
      <c r="U97" s="11"/>
      <c r="V97" s="11"/>
      <c r="W97" s="11"/>
      <c r="X97" s="11"/>
      <c r="Y97" s="11"/>
      <c r="Z97" s="32"/>
      <c r="AA97" s="38"/>
      <c r="AC97" s="11"/>
      <c r="AD97" s="32"/>
      <c r="AE97" s="3"/>
      <c r="AF97" s="3"/>
      <c r="AG97" s="3"/>
      <c r="AH97" s="3"/>
      <c r="AI97" s="3"/>
      <c r="AJ97" s="3"/>
    </row>
    <row r="98" spans="1:36">
      <c r="A98" s="11" t="s">
        <v>167</v>
      </c>
      <c r="B98" s="10">
        <v>45693</v>
      </c>
      <c r="C98" s="11">
        <f>MONTH(Table1[[#This Row],[Ngày]])</f>
        <v>2</v>
      </c>
      <c r="D98" s="11">
        <f t="shared" si="3"/>
        <v>1</v>
      </c>
      <c r="E98" s="11" t="s">
        <v>64</v>
      </c>
      <c r="F98" s="11" t="s">
        <v>9</v>
      </c>
      <c r="G98" s="11" t="s">
        <v>28</v>
      </c>
      <c r="H98" s="32">
        <v>17</v>
      </c>
      <c r="I98" s="38">
        <f t="shared" si="4"/>
        <v>5950000</v>
      </c>
      <c r="K98" s="11"/>
      <c r="L98" s="10"/>
      <c r="M98" s="11"/>
      <c r="N98" s="11"/>
      <c r="O98" s="11"/>
      <c r="P98" s="11"/>
      <c r="Q98" s="11"/>
      <c r="R98" s="32"/>
      <c r="S98" s="11"/>
      <c r="T98" s="10"/>
      <c r="U98" s="11"/>
      <c r="V98" s="11"/>
      <c r="W98" s="11"/>
      <c r="X98" s="11"/>
      <c r="Y98" s="11"/>
      <c r="Z98" s="32"/>
      <c r="AA98" s="38"/>
      <c r="AC98" s="11"/>
      <c r="AD98" s="32"/>
      <c r="AE98" s="3"/>
      <c r="AF98" s="3"/>
      <c r="AG98" s="3"/>
      <c r="AH98" s="3"/>
      <c r="AI98" s="3"/>
      <c r="AJ98" s="3"/>
    </row>
    <row r="99" spans="1:36">
      <c r="A99" s="11" t="s">
        <v>168</v>
      </c>
      <c r="B99" s="10">
        <v>45683</v>
      </c>
      <c r="C99" s="11">
        <f>MONTH(Table1[[#This Row],[Ngày]])</f>
        <v>1</v>
      </c>
      <c r="D99" s="11">
        <f t="shared" si="3"/>
        <v>1</v>
      </c>
      <c r="E99" s="11" t="s">
        <v>59</v>
      </c>
      <c r="F99" s="11" t="s">
        <v>9</v>
      </c>
      <c r="G99" s="11" t="s">
        <v>28</v>
      </c>
      <c r="H99" s="32">
        <v>80</v>
      </c>
      <c r="I99" s="38">
        <f t="shared" si="4"/>
        <v>28000000</v>
      </c>
      <c r="K99" s="11"/>
      <c r="L99" s="10"/>
      <c r="M99" s="11"/>
      <c r="N99" s="11"/>
      <c r="O99" s="11"/>
      <c r="P99" s="11"/>
      <c r="Q99" s="11"/>
      <c r="R99" s="32"/>
      <c r="S99" s="11"/>
      <c r="T99" s="10"/>
      <c r="U99" s="11"/>
      <c r="V99" s="11"/>
      <c r="W99" s="11"/>
      <c r="X99" s="11"/>
      <c r="Y99" s="11"/>
      <c r="Z99" s="32"/>
      <c r="AA99" s="38"/>
      <c r="AC99" s="11"/>
      <c r="AD99" s="32"/>
      <c r="AE99" s="3"/>
      <c r="AF99" s="3"/>
      <c r="AG99" s="3"/>
      <c r="AH99" s="3"/>
      <c r="AI99" s="3"/>
      <c r="AJ99" s="3"/>
    </row>
    <row r="100" spans="1:36">
      <c r="A100" s="11" t="s">
        <v>169</v>
      </c>
      <c r="B100" s="10">
        <v>45691</v>
      </c>
      <c r="C100" s="11">
        <f>MONTH(Table1[[#This Row],[Ngày]])</f>
        <v>2</v>
      </c>
      <c r="D100" s="11">
        <f t="shared" si="3"/>
        <v>1</v>
      </c>
      <c r="E100" s="11" t="s">
        <v>61</v>
      </c>
      <c r="F100" s="11" t="s">
        <v>6</v>
      </c>
      <c r="G100" s="11" t="s">
        <v>28</v>
      </c>
      <c r="H100" s="32">
        <v>28</v>
      </c>
      <c r="I100" s="38">
        <f t="shared" si="4"/>
        <v>4200000</v>
      </c>
      <c r="K100" s="11"/>
      <c r="L100" s="10"/>
      <c r="M100" s="11"/>
      <c r="N100" s="11"/>
      <c r="O100" s="11"/>
      <c r="P100" s="11"/>
      <c r="Q100" s="11"/>
      <c r="R100" s="32"/>
      <c r="S100" s="11"/>
      <c r="T100" s="10"/>
      <c r="U100" s="11"/>
      <c r="V100" s="11"/>
      <c r="W100" s="11"/>
      <c r="X100" s="11"/>
      <c r="Y100" s="11"/>
      <c r="Z100" s="32"/>
      <c r="AA100" s="38"/>
      <c r="AC100" s="11"/>
      <c r="AD100" s="32"/>
      <c r="AE100" s="3"/>
      <c r="AF100" s="3"/>
      <c r="AG100" s="3"/>
      <c r="AH100" s="3"/>
      <c r="AI100" s="3"/>
      <c r="AJ100" s="3"/>
    </row>
    <row r="101" spans="1:36">
      <c r="A101" s="11" t="s">
        <v>170</v>
      </c>
      <c r="B101" s="10">
        <v>45664</v>
      </c>
      <c r="C101" s="11">
        <f>MONTH(Table1[[#This Row],[Ngày]])</f>
        <v>1</v>
      </c>
      <c r="D101" s="11">
        <f t="shared" si="3"/>
        <v>1</v>
      </c>
      <c r="E101" s="11" t="s">
        <v>59</v>
      </c>
      <c r="F101" s="11" t="s">
        <v>6</v>
      </c>
      <c r="G101" s="11" t="s">
        <v>27</v>
      </c>
      <c r="H101" s="32">
        <v>51</v>
      </c>
      <c r="I101" s="38">
        <f t="shared" si="4"/>
        <v>7650000</v>
      </c>
      <c r="K101" s="11"/>
      <c r="L101" s="10"/>
      <c r="M101" s="11"/>
      <c r="N101" s="11"/>
      <c r="O101" s="11"/>
      <c r="P101" s="11"/>
      <c r="Q101" s="11"/>
      <c r="R101" s="32"/>
      <c r="S101" s="11"/>
      <c r="T101" s="10"/>
      <c r="U101" s="11"/>
      <c r="V101" s="11"/>
      <c r="W101" s="11"/>
      <c r="X101" s="11"/>
      <c r="Y101" s="11"/>
      <c r="Z101" s="32"/>
      <c r="AA101" s="38"/>
      <c r="AC101" s="11"/>
      <c r="AD101" s="32"/>
      <c r="AE101" s="3"/>
      <c r="AF101" s="3"/>
      <c r="AG101" s="3"/>
      <c r="AH101" s="3"/>
      <c r="AI101" s="3"/>
      <c r="AJ101" s="3"/>
    </row>
    <row r="102" spans="1:36">
      <c r="A102" s="11" t="s">
        <v>171</v>
      </c>
      <c r="B102" s="10">
        <v>45713</v>
      </c>
      <c r="C102" s="11">
        <f>MONTH(Table1[[#This Row],[Ngày]])</f>
        <v>2</v>
      </c>
      <c r="D102" s="11">
        <f t="shared" si="3"/>
        <v>1</v>
      </c>
      <c r="E102" s="11" t="s">
        <v>51</v>
      </c>
      <c r="F102" s="11" t="s">
        <v>11</v>
      </c>
      <c r="G102" s="11" t="s">
        <v>27</v>
      </c>
      <c r="H102" s="32">
        <v>44</v>
      </c>
      <c r="I102" s="38">
        <f t="shared" si="4"/>
        <v>22000000</v>
      </c>
      <c r="K102" s="11"/>
      <c r="L102" s="10"/>
      <c r="M102" s="11"/>
      <c r="N102" s="11"/>
      <c r="O102" s="11"/>
      <c r="P102" s="11"/>
      <c r="Q102" s="11"/>
      <c r="R102" s="32"/>
      <c r="S102" s="11"/>
      <c r="T102" s="10"/>
      <c r="U102" s="11"/>
      <c r="V102" s="11"/>
      <c r="W102" s="11"/>
      <c r="X102" s="11"/>
      <c r="Y102" s="11"/>
      <c r="Z102" s="32"/>
      <c r="AA102" s="38"/>
      <c r="AC102" s="11"/>
      <c r="AD102" s="32"/>
      <c r="AE102" s="3"/>
      <c r="AF102" s="3"/>
      <c r="AG102" s="3"/>
      <c r="AH102" s="3"/>
      <c r="AI102" s="3"/>
      <c r="AJ102" s="3"/>
    </row>
    <row r="103" spans="1:36">
      <c r="A103" s="11" t="s">
        <v>172</v>
      </c>
      <c r="B103" s="10">
        <v>45687</v>
      </c>
      <c r="C103" s="11">
        <f>MONTH(Table1[[#This Row],[Ngày]])</f>
        <v>1</v>
      </c>
      <c r="D103" s="11">
        <f t="shared" si="3"/>
        <v>1</v>
      </c>
      <c r="E103" s="11" t="s">
        <v>51</v>
      </c>
      <c r="F103" s="11" t="s">
        <v>6</v>
      </c>
      <c r="G103" s="11" t="s">
        <v>28</v>
      </c>
      <c r="H103" s="32">
        <v>60</v>
      </c>
      <c r="I103" s="38">
        <f t="shared" si="4"/>
        <v>9000000</v>
      </c>
      <c r="K103" s="11"/>
      <c r="L103" s="10"/>
      <c r="M103" s="11"/>
      <c r="N103" s="11"/>
      <c r="O103" s="11"/>
      <c r="P103" s="11"/>
      <c r="Q103" s="11"/>
      <c r="R103" s="32"/>
      <c r="S103" s="11"/>
      <c r="T103" s="10"/>
      <c r="U103" s="11"/>
      <c r="V103" s="11"/>
      <c r="W103" s="11"/>
      <c r="X103" s="11"/>
      <c r="Y103" s="11"/>
      <c r="Z103" s="32"/>
      <c r="AA103" s="38"/>
      <c r="AC103" s="11"/>
      <c r="AD103" s="32"/>
      <c r="AE103" s="3"/>
      <c r="AF103" s="3"/>
      <c r="AG103" s="3"/>
      <c r="AH103" s="3"/>
      <c r="AI103" s="3"/>
      <c r="AJ103" s="3"/>
    </row>
    <row r="104" spans="1:36">
      <c r="A104" s="11" t="s">
        <v>173</v>
      </c>
      <c r="B104" s="10">
        <v>45707</v>
      </c>
      <c r="C104" s="11">
        <f>MONTH(Table1[[#This Row],[Ngày]])</f>
        <v>2</v>
      </c>
      <c r="D104" s="11">
        <f t="shared" si="3"/>
        <v>1</v>
      </c>
      <c r="E104" s="11" t="s">
        <v>61</v>
      </c>
      <c r="F104" s="11" t="s">
        <v>9</v>
      </c>
      <c r="G104" s="11" t="s">
        <v>28</v>
      </c>
      <c r="H104" s="32">
        <v>36</v>
      </c>
      <c r="I104" s="38">
        <f t="shared" si="4"/>
        <v>12600000</v>
      </c>
      <c r="K104" s="11"/>
      <c r="L104" s="10"/>
      <c r="M104" s="11"/>
      <c r="N104" s="11"/>
      <c r="O104" s="11"/>
      <c r="P104" s="11"/>
      <c r="Q104" s="11"/>
      <c r="R104" s="32"/>
      <c r="S104" s="11"/>
      <c r="T104" s="10"/>
      <c r="U104" s="11"/>
      <c r="V104" s="11"/>
      <c r="W104" s="11"/>
      <c r="X104" s="11"/>
      <c r="Y104" s="11"/>
      <c r="Z104" s="32"/>
      <c r="AA104" s="38"/>
      <c r="AC104" s="11"/>
      <c r="AD104" s="32"/>
      <c r="AE104" s="3"/>
      <c r="AF104" s="3"/>
      <c r="AG104" s="3"/>
      <c r="AH104" s="3"/>
      <c r="AI104" s="3"/>
      <c r="AJ104" s="3"/>
    </row>
    <row r="105" spans="1:36">
      <c r="A105" s="11" t="s">
        <v>174</v>
      </c>
      <c r="B105" s="10">
        <v>45715</v>
      </c>
      <c r="C105" s="11">
        <f>MONTH(Table1[[#This Row],[Ngày]])</f>
        <v>2</v>
      </c>
      <c r="D105" s="11">
        <f t="shared" si="3"/>
        <v>1</v>
      </c>
      <c r="E105" s="11" t="s">
        <v>61</v>
      </c>
      <c r="F105" s="11" t="s">
        <v>9</v>
      </c>
      <c r="G105" s="11" t="s">
        <v>28</v>
      </c>
      <c r="H105" s="32">
        <v>39</v>
      </c>
      <c r="I105" s="38">
        <f t="shared" si="4"/>
        <v>13650000</v>
      </c>
      <c r="K105" s="11"/>
      <c r="L105" s="10"/>
      <c r="M105" s="11"/>
      <c r="N105" s="11"/>
      <c r="O105" s="11"/>
      <c r="P105" s="11"/>
      <c r="Q105" s="11"/>
      <c r="R105" s="32"/>
      <c r="S105" s="11"/>
      <c r="T105" s="10"/>
      <c r="U105" s="11"/>
      <c r="V105" s="11"/>
      <c r="W105" s="11"/>
      <c r="X105" s="11"/>
      <c r="Y105" s="11"/>
      <c r="Z105" s="32"/>
      <c r="AA105" s="38"/>
      <c r="AC105" s="11"/>
      <c r="AD105" s="32"/>
      <c r="AE105" s="3"/>
      <c r="AF105" s="3"/>
      <c r="AG105" s="3"/>
      <c r="AH105" s="3"/>
      <c r="AI105" s="3"/>
      <c r="AJ105" s="3"/>
    </row>
    <row r="106" spans="1:36">
      <c r="A106" s="11" t="s">
        <v>175</v>
      </c>
      <c r="B106" s="10">
        <v>45712</v>
      </c>
      <c r="C106" s="11">
        <f>MONTH(Table1[[#This Row],[Ngày]])</f>
        <v>2</v>
      </c>
      <c r="D106" s="11">
        <f t="shared" si="3"/>
        <v>1</v>
      </c>
      <c r="E106" s="11" t="s">
        <v>51</v>
      </c>
      <c r="F106" s="11" t="s">
        <v>9</v>
      </c>
      <c r="G106" s="11" t="s">
        <v>27</v>
      </c>
      <c r="H106" s="32">
        <v>47</v>
      </c>
      <c r="I106" s="38">
        <f t="shared" si="4"/>
        <v>16450000</v>
      </c>
      <c r="K106" s="11"/>
      <c r="L106" s="10"/>
      <c r="M106" s="11"/>
      <c r="N106" s="11"/>
      <c r="O106" s="11"/>
      <c r="P106" s="11"/>
      <c r="Q106" s="11"/>
      <c r="R106" s="32"/>
      <c r="S106" s="11"/>
      <c r="T106" s="10"/>
      <c r="U106" s="11"/>
      <c r="V106" s="11"/>
      <c r="W106" s="11"/>
      <c r="X106" s="11"/>
      <c r="Y106" s="11"/>
      <c r="Z106" s="32"/>
      <c r="AA106" s="38"/>
      <c r="AC106" s="11"/>
      <c r="AD106" s="32"/>
      <c r="AE106" s="3"/>
      <c r="AF106" s="3"/>
      <c r="AG106" s="3"/>
      <c r="AH106" s="3"/>
      <c r="AI106" s="3"/>
      <c r="AJ106" s="3"/>
    </row>
    <row r="107" spans="1:36">
      <c r="A107" s="11" t="s">
        <v>176</v>
      </c>
      <c r="B107" s="10">
        <v>45673</v>
      </c>
      <c r="C107" s="11">
        <f>MONTH(Table1[[#This Row],[Ngày]])</f>
        <v>1</v>
      </c>
      <c r="D107" s="11">
        <f t="shared" si="3"/>
        <v>1</v>
      </c>
      <c r="E107" s="11" t="s">
        <v>64</v>
      </c>
      <c r="F107" s="11" t="s">
        <v>9</v>
      </c>
      <c r="G107" s="11" t="s">
        <v>28</v>
      </c>
      <c r="H107" s="32">
        <v>91</v>
      </c>
      <c r="I107" s="38">
        <f t="shared" si="4"/>
        <v>31850000</v>
      </c>
      <c r="K107" s="11"/>
      <c r="L107" s="10"/>
      <c r="M107" s="11"/>
      <c r="N107" s="11"/>
      <c r="O107" s="11"/>
      <c r="P107" s="11"/>
      <c r="Q107" s="11"/>
      <c r="R107" s="32"/>
      <c r="S107" s="11"/>
      <c r="T107" s="10"/>
      <c r="U107" s="11"/>
      <c r="V107" s="11"/>
      <c r="W107" s="11"/>
      <c r="X107" s="11"/>
      <c r="Y107" s="11"/>
      <c r="Z107" s="32"/>
      <c r="AA107" s="38"/>
      <c r="AC107" s="11"/>
      <c r="AD107" s="32"/>
      <c r="AE107" s="3"/>
      <c r="AF107" s="3"/>
      <c r="AG107" s="3"/>
      <c r="AH107" s="3"/>
      <c r="AI107" s="3"/>
      <c r="AJ107" s="3"/>
    </row>
    <row r="108" spans="1:36">
      <c r="A108" s="11" t="s">
        <v>177</v>
      </c>
      <c r="B108" s="10">
        <v>45673</v>
      </c>
      <c r="C108" s="11">
        <f>MONTH(Table1[[#This Row],[Ngày]])</f>
        <v>1</v>
      </c>
      <c r="D108" s="11">
        <f t="shared" si="3"/>
        <v>1</v>
      </c>
      <c r="E108" s="11" t="s">
        <v>64</v>
      </c>
      <c r="F108" s="11" t="s">
        <v>11</v>
      </c>
      <c r="G108" s="11" t="s">
        <v>27</v>
      </c>
      <c r="H108" s="32">
        <v>99</v>
      </c>
      <c r="I108" s="38">
        <f t="shared" si="4"/>
        <v>49500000</v>
      </c>
      <c r="K108" s="11"/>
      <c r="L108" s="10"/>
      <c r="M108" s="11"/>
      <c r="N108" s="11"/>
      <c r="O108" s="11"/>
      <c r="P108" s="11"/>
      <c r="Q108" s="11"/>
      <c r="R108" s="32"/>
      <c r="S108" s="11"/>
      <c r="T108" s="10"/>
      <c r="U108" s="11"/>
      <c r="V108" s="11"/>
      <c r="W108" s="11"/>
      <c r="X108" s="11"/>
      <c r="Y108" s="11"/>
      <c r="Z108" s="32"/>
      <c r="AA108" s="38"/>
      <c r="AC108" s="11"/>
      <c r="AD108" s="32"/>
      <c r="AE108" s="3"/>
      <c r="AF108" s="3"/>
      <c r="AG108" s="3"/>
      <c r="AH108" s="3"/>
      <c r="AI108" s="3"/>
      <c r="AJ108" s="3"/>
    </row>
    <row r="109" spans="1:36">
      <c r="A109" s="11" t="s">
        <v>178</v>
      </c>
      <c r="B109" s="10">
        <v>45696</v>
      </c>
      <c r="C109" s="11">
        <f>MONTH(Table1[[#This Row],[Ngày]])</f>
        <v>2</v>
      </c>
      <c r="D109" s="11">
        <f t="shared" si="3"/>
        <v>1</v>
      </c>
      <c r="E109" s="11" t="s">
        <v>51</v>
      </c>
      <c r="F109" s="11" t="s">
        <v>11</v>
      </c>
      <c r="G109" s="11" t="s">
        <v>28</v>
      </c>
      <c r="H109" s="32">
        <v>33</v>
      </c>
      <c r="I109" s="38">
        <f t="shared" si="4"/>
        <v>16500000</v>
      </c>
      <c r="K109" s="11"/>
      <c r="L109" s="10"/>
      <c r="M109" s="11"/>
      <c r="N109" s="11"/>
      <c r="O109" s="11"/>
      <c r="P109" s="11"/>
      <c r="Q109" s="11"/>
      <c r="R109" s="32"/>
      <c r="S109" s="11"/>
      <c r="T109" s="10"/>
      <c r="U109" s="11"/>
      <c r="V109" s="11"/>
      <c r="W109" s="11"/>
      <c r="X109" s="11"/>
      <c r="Y109" s="11"/>
      <c r="Z109" s="32"/>
      <c r="AA109" s="38"/>
      <c r="AC109" s="11"/>
      <c r="AD109" s="32"/>
      <c r="AE109" s="3"/>
      <c r="AF109" s="3"/>
      <c r="AG109" s="3"/>
      <c r="AH109" s="3"/>
      <c r="AI109" s="3"/>
      <c r="AJ109" s="3"/>
    </row>
    <row r="110" spans="1:36">
      <c r="A110" s="11" t="s">
        <v>179</v>
      </c>
      <c r="B110" s="10">
        <v>45703</v>
      </c>
      <c r="C110" s="11">
        <f>MONTH(Table1[[#This Row],[Ngày]])</f>
        <v>2</v>
      </c>
      <c r="D110" s="11">
        <f t="shared" si="3"/>
        <v>1</v>
      </c>
      <c r="E110" s="11" t="s">
        <v>61</v>
      </c>
      <c r="F110" s="11" t="s">
        <v>11</v>
      </c>
      <c r="G110" s="11" t="s">
        <v>27</v>
      </c>
      <c r="H110" s="32">
        <v>88</v>
      </c>
      <c r="I110" s="38">
        <f t="shared" si="4"/>
        <v>44000000</v>
      </c>
      <c r="K110" s="11"/>
      <c r="L110" s="10"/>
      <c r="M110" s="11"/>
      <c r="N110" s="11"/>
      <c r="O110" s="11"/>
      <c r="P110" s="11"/>
      <c r="Q110" s="11"/>
      <c r="R110" s="32"/>
      <c r="S110" s="11"/>
      <c r="T110" s="10"/>
      <c r="U110" s="11"/>
      <c r="V110" s="11"/>
      <c r="W110" s="11"/>
      <c r="X110" s="11"/>
      <c r="Y110" s="11"/>
      <c r="Z110" s="32"/>
      <c r="AA110" s="38"/>
      <c r="AC110" s="11"/>
      <c r="AD110" s="32"/>
      <c r="AE110" s="3"/>
      <c r="AF110" s="3"/>
      <c r="AG110" s="3"/>
      <c r="AH110" s="3"/>
      <c r="AI110" s="3"/>
      <c r="AJ110" s="3"/>
    </row>
    <row r="111" spans="1:36">
      <c r="A111" s="11" t="s">
        <v>180</v>
      </c>
      <c r="B111" s="10">
        <v>45699</v>
      </c>
      <c r="C111" s="11">
        <f>MONTH(Table1[[#This Row],[Ngày]])</f>
        <v>2</v>
      </c>
      <c r="D111" s="11">
        <f t="shared" si="3"/>
        <v>1</v>
      </c>
      <c r="E111" s="11" t="s">
        <v>64</v>
      </c>
      <c r="F111" s="11" t="s">
        <v>9</v>
      </c>
      <c r="G111" s="11" t="s">
        <v>28</v>
      </c>
      <c r="H111" s="32">
        <v>70</v>
      </c>
      <c r="I111" s="38">
        <f t="shared" si="4"/>
        <v>24500000</v>
      </c>
      <c r="K111" s="11"/>
      <c r="L111" s="10"/>
      <c r="M111" s="11"/>
      <c r="N111" s="11"/>
      <c r="O111" s="11"/>
      <c r="P111" s="11"/>
      <c r="Q111" s="11"/>
      <c r="R111" s="32"/>
      <c r="S111" s="11"/>
      <c r="T111" s="10"/>
      <c r="U111" s="11"/>
      <c r="V111" s="11"/>
      <c r="W111" s="11"/>
      <c r="X111" s="11"/>
      <c r="Y111" s="11"/>
      <c r="Z111" s="32"/>
      <c r="AA111" s="38"/>
      <c r="AC111" s="11"/>
      <c r="AD111" s="32"/>
      <c r="AE111" s="3"/>
      <c r="AF111" s="3"/>
      <c r="AG111" s="3"/>
      <c r="AH111" s="3"/>
      <c r="AI111" s="3"/>
      <c r="AJ111" s="3"/>
    </row>
    <row r="112" spans="1:36">
      <c r="A112" s="11" t="s">
        <v>181</v>
      </c>
      <c r="B112" s="10">
        <v>45715</v>
      </c>
      <c r="C112" s="11">
        <f>MONTH(Table1[[#This Row],[Ngày]])</f>
        <v>2</v>
      </c>
      <c r="D112" s="11">
        <f t="shared" si="3"/>
        <v>1</v>
      </c>
      <c r="E112" s="11" t="s">
        <v>51</v>
      </c>
      <c r="F112" s="11" t="s">
        <v>11</v>
      </c>
      <c r="G112" s="11" t="s">
        <v>27</v>
      </c>
      <c r="H112" s="32">
        <v>68</v>
      </c>
      <c r="I112" s="38">
        <f t="shared" si="4"/>
        <v>34000000</v>
      </c>
      <c r="K112" s="11"/>
      <c r="L112" s="10"/>
      <c r="M112" s="11"/>
      <c r="N112" s="11"/>
      <c r="O112" s="11"/>
      <c r="P112" s="11"/>
      <c r="Q112" s="11"/>
      <c r="R112" s="32"/>
      <c r="S112" s="11"/>
      <c r="T112" s="10"/>
      <c r="U112" s="11"/>
      <c r="V112" s="11"/>
      <c r="W112" s="11"/>
      <c r="X112" s="11"/>
      <c r="Y112" s="11"/>
      <c r="Z112" s="32"/>
      <c r="AA112" s="38"/>
      <c r="AC112" s="11"/>
      <c r="AD112" s="32"/>
      <c r="AE112" s="3"/>
      <c r="AF112" s="3"/>
      <c r="AG112" s="3"/>
      <c r="AH112" s="3"/>
      <c r="AI112" s="3"/>
      <c r="AJ112" s="3"/>
    </row>
    <row r="113" spans="1:36">
      <c r="A113" s="11" t="s">
        <v>182</v>
      </c>
      <c r="B113" s="10">
        <v>45708</v>
      </c>
      <c r="C113" s="11">
        <f>MONTH(Table1[[#This Row],[Ngày]])</f>
        <v>2</v>
      </c>
      <c r="D113" s="11">
        <f t="shared" si="3"/>
        <v>1</v>
      </c>
      <c r="E113" s="11" t="s">
        <v>51</v>
      </c>
      <c r="F113" s="11" t="s">
        <v>9</v>
      </c>
      <c r="G113" s="11" t="s">
        <v>27</v>
      </c>
      <c r="H113" s="32">
        <v>76</v>
      </c>
      <c r="I113" s="38">
        <f t="shared" si="4"/>
        <v>26600000</v>
      </c>
      <c r="K113" s="11"/>
      <c r="L113" s="10"/>
      <c r="M113" s="11"/>
      <c r="N113" s="11"/>
      <c r="O113" s="11"/>
      <c r="P113" s="11"/>
      <c r="Q113" s="11"/>
      <c r="R113" s="32"/>
      <c r="S113" s="11"/>
      <c r="T113" s="10"/>
      <c r="U113" s="11"/>
      <c r="V113" s="11"/>
      <c r="W113" s="11"/>
      <c r="X113" s="11"/>
      <c r="Y113" s="11"/>
      <c r="Z113" s="32"/>
      <c r="AA113" s="38"/>
      <c r="AC113" s="11"/>
      <c r="AD113" s="32"/>
      <c r="AE113" s="3"/>
      <c r="AF113" s="3"/>
      <c r="AG113" s="3"/>
      <c r="AH113" s="3"/>
      <c r="AI113" s="3"/>
      <c r="AJ113" s="3"/>
    </row>
    <row r="114" spans="1:36">
      <c r="A114" s="11" t="s">
        <v>183</v>
      </c>
      <c r="B114" s="10">
        <v>45680</v>
      </c>
      <c r="C114" s="11">
        <f>MONTH(Table1[[#This Row],[Ngày]])</f>
        <v>1</v>
      </c>
      <c r="D114" s="11">
        <f t="shared" si="3"/>
        <v>1</v>
      </c>
      <c r="E114" s="11" t="s">
        <v>64</v>
      </c>
      <c r="F114" s="11" t="s">
        <v>9</v>
      </c>
      <c r="G114" s="11" t="s">
        <v>27</v>
      </c>
      <c r="H114" s="32">
        <v>36</v>
      </c>
      <c r="I114" s="38">
        <f t="shared" si="4"/>
        <v>12600000</v>
      </c>
      <c r="K114" s="11"/>
      <c r="L114" s="10"/>
      <c r="M114" s="11"/>
      <c r="N114" s="11"/>
      <c r="O114" s="11"/>
      <c r="P114" s="11"/>
      <c r="Q114" s="11"/>
      <c r="R114" s="32"/>
      <c r="S114" s="11"/>
      <c r="T114" s="10"/>
      <c r="U114" s="11"/>
      <c r="V114" s="11"/>
      <c r="W114" s="11"/>
      <c r="X114" s="11"/>
      <c r="Y114" s="11"/>
      <c r="Z114" s="32"/>
      <c r="AA114" s="38"/>
      <c r="AC114" s="11"/>
      <c r="AD114" s="32"/>
      <c r="AE114" s="3"/>
      <c r="AF114" s="3"/>
      <c r="AG114" s="3"/>
      <c r="AH114" s="3"/>
      <c r="AI114" s="3"/>
      <c r="AJ114" s="3"/>
    </row>
    <row r="115" spans="1:36">
      <c r="A115" s="11" t="s">
        <v>184</v>
      </c>
      <c r="B115" s="10">
        <v>45685</v>
      </c>
      <c r="C115" s="11">
        <f>MONTH(Table1[[#This Row],[Ngày]])</f>
        <v>1</v>
      </c>
      <c r="D115" s="11">
        <f t="shared" si="3"/>
        <v>1</v>
      </c>
      <c r="E115" s="11" t="s">
        <v>55</v>
      </c>
      <c r="F115" s="11" t="s">
        <v>9</v>
      </c>
      <c r="G115" s="11" t="s">
        <v>27</v>
      </c>
      <c r="H115" s="32">
        <v>19</v>
      </c>
      <c r="I115" s="38">
        <f t="shared" si="4"/>
        <v>6650000</v>
      </c>
      <c r="K115" s="11"/>
      <c r="L115" s="10"/>
      <c r="M115" s="11"/>
      <c r="N115" s="11"/>
      <c r="O115" s="11"/>
      <c r="P115" s="11"/>
      <c r="Q115" s="11"/>
      <c r="R115" s="32"/>
      <c r="S115" s="11"/>
      <c r="T115" s="10"/>
      <c r="U115" s="11"/>
      <c r="V115" s="11"/>
      <c r="W115" s="11"/>
      <c r="X115" s="11"/>
      <c r="Y115" s="11"/>
      <c r="Z115" s="32"/>
      <c r="AA115" s="38"/>
      <c r="AC115" s="11"/>
      <c r="AD115" s="32"/>
      <c r="AE115" s="3"/>
      <c r="AF115" s="3"/>
      <c r="AG115" s="3"/>
      <c r="AH115" s="3"/>
      <c r="AI115" s="3"/>
      <c r="AJ115" s="3"/>
    </row>
    <row r="116" spans="1:36">
      <c r="A116" s="11" t="s">
        <v>185</v>
      </c>
      <c r="B116" s="10">
        <v>45666</v>
      </c>
      <c r="C116" s="11">
        <f>MONTH(Table1[[#This Row],[Ngày]])</f>
        <v>1</v>
      </c>
      <c r="D116" s="11">
        <f t="shared" si="3"/>
        <v>1</v>
      </c>
      <c r="E116" s="11" t="s">
        <v>51</v>
      </c>
      <c r="F116" s="11" t="s">
        <v>11</v>
      </c>
      <c r="G116" s="11" t="s">
        <v>27</v>
      </c>
      <c r="H116" s="32">
        <v>70</v>
      </c>
      <c r="I116" s="38">
        <f t="shared" si="4"/>
        <v>35000000</v>
      </c>
      <c r="K116" s="11"/>
      <c r="L116" s="10"/>
      <c r="M116" s="11"/>
      <c r="N116" s="11"/>
      <c r="O116" s="11"/>
      <c r="P116" s="11"/>
      <c r="Q116" s="11"/>
      <c r="R116" s="32"/>
      <c r="S116" s="11"/>
      <c r="T116" s="10"/>
      <c r="U116" s="11"/>
      <c r="V116" s="11"/>
      <c r="W116" s="11"/>
      <c r="X116" s="11"/>
      <c r="Y116" s="11"/>
      <c r="Z116" s="32"/>
      <c r="AA116" s="38"/>
      <c r="AC116" s="11"/>
      <c r="AD116" s="32"/>
      <c r="AE116" s="3"/>
      <c r="AF116" s="3"/>
      <c r="AG116" s="3"/>
      <c r="AH116" s="3"/>
      <c r="AI116" s="3"/>
      <c r="AJ116" s="3"/>
    </row>
    <row r="117" spans="1:36">
      <c r="A117" s="11" t="s">
        <v>186</v>
      </c>
      <c r="B117" s="10">
        <v>45667</v>
      </c>
      <c r="C117" s="11">
        <f>MONTH(Table1[[#This Row],[Ngày]])</f>
        <v>1</v>
      </c>
      <c r="D117" s="11">
        <f t="shared" si="3"/>
        <v>1</v>
      </c>
      <c r="E117" s="11" t="s">
        <v>64</v>
      </c>
      <c r="F117" s="11" t="s">
        <v>6</v>
      </c>
      <c r="G117" s="11" t="s">
        <v>27</v>
      </c>
      <c r="H117" s="32">
        <v>89</v>
      </c>
      <c r="I117" s="38">
        <f t="shared" si="4"/>
        <v>13350000</v>
      </c>
      <c r="K117" s="11"/>
      <c r="L117" s="10"/>
      <c r="M117" s="11"/>
      <c r="N117" s="11"/>
      <c r="O117" s="11"/>
      <c r="P117" s="11"/>
      <c r="Q117" s="11"/>
      <c r="R117" s="32"/>
      <c r="S117" s="11"/>
      <c r="T117" s="10"/>
      <c r="U117" s="11"/>
      <c r="V117" s="11"/>
      <c r="W117" s="11"/>
      <c r="X117" s="11"/>
      <c r="Y117" s="11"/>
      <c r="Z117" s="32"/>
      <c r="AA117" s="38"/>
      <c r="AC117" s="11"/>
      <c r="AD117" s="32"/>
      <c r="AE117" s="3"/>
      <c r="AF117" s="3"/>
      <c r="AG117" s="3"/>
      <c r="AH117" s="3"/>
      <c r="AI117" s="3"/>
      <c r="AJ117" s="3"/>
    </row>
    <row r="118" spans="1:36">
      <c r="A118" s="11" t="s">
        <v>187</v>
      </c>
      <c r="B118" s="10">
        <v>45678</v>
      </c>
      <c r="C118" s="11">
        <f>MONTH(Table1[[#This Row],[Ngày]])</f>
        <v>1</v>
      </c>
      <c r="D118" s="11">
        <f t="shared" si="3"/>
        <v>1</v>
      </c>
      <c r="E118" s="11" t="s">
        <v>55</v>
      </c>
      <c r="F118" s="11" t="s">
        <v>9</v>
      </c>
      <c r="G118" s="11" t="s">
        <v>27</v>
      </c>
      <c r="H118" s="32">
        <v>18</v>
      </c>
      <c r="I118" s="38">
        <f t="shared" si="4"/>
        <v>6300000</v>
      </c>
      <c r="K118" s="11"/>
      <c r="L118" s="10"/>
      <c r="M118" s="11"/>
      <c r="N118" s="11"/>
      <c r="O118" s="11"/>
      <c r="P118" s="11"/>
      <c r="Q118" s="11"/>
      <c r="R118" s="32"/>
      <c r="S118" s="11"/>
      <c r="T118" s="10"/>
      <c r="U118" s="11"/>
      <c r="V118" s="11"/>
      <c r="W118" s="11"/>
      <c r="X118" s="11"/>
      <c r="Y118" s="11"/>
      <c r="Z118" s="32"/>
      <c r="AA118" s="38"/>
      <c r="AC118" s="11"/>
      <c r="AD118" s="32"/>
      <c r="AE118" s="3"/>
      <c r="AF118" s="3"/>
      <c r="AG118" s="3"/>
      <c r="AH118" s="3"/>
      <c r="AI118" s="3"/>
      <c r="AJ118" s="3"/>
    </row>
    <row r="119" spans="1:36">
      <c r="A119" s="11" t="s">
        <v>188</v>
      </c>
      <c r="B119" s="10">
        <v>45702</v>
      </c>
      <c r="C119" s="11">
        <f>MONTH(Table1[[#This Row],[Ngày]])</f>
        <v>2</v>
      </c>
      <c r="D119" s="11">
        <f t="shared" si="3"/>
        <v>1</v>
      </c>
      <c r="E119" s="11" t="s">
        <v>51</v>
      </c>
      <c r="F119" s="11" t="s">
        <v>11</v>
      </c>
      <c r="G119" s="11" t="s">
        <v>28</v>
      </c>
      <c r="H119" s="32">
        <v>50</v>
      </c>
      <c r="I119" s="38">
        <f t="shared" si="4"/>
        <v>25000000</v>
      </c>
      <c r="K119" s="11"/>
      <c r="L119" s="10"/>
      <c r="M119" s="11"/>
      <c r="N119" s="11"/>
      <c r="O119" s="11"/>
      <c r="P119" s="11"/>
      <c r="Q119" s="11"/>
      <c r="R119" s="32"/>
      <c r="S119" s="11"/>
      <c r="T119" s="10"/>
      <c r="U119" s="11"/>
      <c r="V119" s="11"/>
      <c r="W119" s="11"/>
      <c r="X119" s="11"/>
      <c r="Y119" s="11"/>
      <c r="Z119" s="32"/>
      <c r="AA119" s="38"/>
      <c r="AC119" s="11"/>
      <c r="AD119" s="32"/>
      <c r="AE119" s="3"/>
      <c r="AF119" s="3"/>
      <c r="AG119" s="3"/>
      <c r="AH119" s="3"/>
      <c r="AI119" s="3"/>
      <c r="AJ119" s="3"/>
    </row>
    <row r="120" spans="1:36">
      <c r="A120" s="11" t="s">
        <v>189</v>
      </c>
      <c r="B120" s="10">
        <v>45677</v>
      </c>
      <c r="C120" s="11">
        <f>MONTH(Table1[[#This Row],[Ngày]])</f>
        <v>1</v>
      </c>
      <c r="D120" s="11">
        <f t="shared" si="3"/>
        <v>1</v>
      </c>
      <c r="E120" s="11" t="s">
        <v>61</v>
      </c>
      <c r="F120" s="11" t="s">
        <v>9</v>
      </c>
      <c r="G120" s="11" t="s">
        <v>28</v>
      </c>
      <c r="H120" s="32">
        <v>20</v>
      </c>
      <c r="I120" s="38">
        <f t="shared" si="4"/>
        <v>7000000</v>
      </c>
      <c r="K120" s="11"/>
      <c r="L120" s="10"/>
      <c r="M120" s="11"/>
      <c r="N120" s="11"/>
      <c r="O120" s="11"/>
      <c r="P120" s="11"/>
      <c r="Q120" s="11"/>
      <c r="R120" s="32"/>
      <c r="S120" s="11"/>
      <c r="T120" s="10"/>
      <c r="U120" s="11"/>
      <c r="V120" s="11"/>
      <c r="W120" s="11"/>
      <c r="X120" s="11"/>
      <c r="Y120" s="11"/>
      <c r="Z120" s="32"/>
      <c r="AA120" s="38"/>
      <c r="AC120" s="11"/>
      <c r="AD120" s="32"/>
      <c r="AE120" s="3"/>
      <c r="AF120" s="3"/>
      <c r="AG120" s="3"/>
      <c r="AH120" s="3"/>
      <c r="AI120" s="3"/>
      <c r="AJ120" s="3"/>
    </row>
    <row r="121" spans="1:36">
      <c r="A121" s="11" t="s">
        <v>190</v>
      </c>
      <c r="B121" s="10">
        <v>45702</v>
      </c>
      <c r="C121" s="11">
        <f>MONTH(Table1[[#This Row],[Ngày]])</f>
        <v>2</v>
      </c>
      <c r="D121" s="11">
        <f t="shared" si="3"/>
        <v>1</v>
      </c>
      <c r="E121" s="11" t="s">
        <v>64</v>
      </c>
      <c r="F121" s="11" t="s">
        <v>6</v>
      </c>
      <c r="G121" s="11" t="s">
        <v>27</v>
      </c>
      <c r="H121" s="32">
        <v>39</v>
      </c>
      <c r="I121" s="38">
        <f t="shared" si="4"/>
        <v>5850000</v>
      </c>
      <c r="K121" s="11"/>
      <c r="L121" s="10"/>
      <c r="M121" s="11"/>
      <c r="N121" s="11"/>
      <c r="O121" s="11"/>
      <c r="P121" s="11"/>
      <c r="Q121" s="11"/>
      <c r="R121" s="32"/>
      <c r="S121" s="11"/>
      <c r="T121" s="10"/>
      <c r="U121" s="11"/>
      <c r="V121" s="11"/>
      <c r="W121" s="11"/>
      <c r="X121" s="11"/>
      <c r="Y121" s="11"/>
      <c r="Z121" s="32"/>
      <c r="AA121" s="38"/>
      <c r="AC121" s="11"/>
      <c r="AD121" s="32"/>
      <c r="AE121" s="3"/>
      <c r="AF121" s="3"/>
      <c r="AG121" s="3"/>
      <c r="AH121" s="3"/>
      <c r="AI121" s="3"/>
      <c r="AJ121" s="3"/>
    </row>
    <row r="122" spans="1:36">
      <c r="A122" s="11" t="s">
        <v>191</v>
      </c>
      <c r="B122" s="10">
        <v>45661</v>
      </c>
      <c r="C122" s="11">
        <f>MONTH(Table1[[#This Row],[Ngày]])</f>
        <v>1</v>
      </c>
      <c r="D122" s="11">
        <f t="shared" si="3"/>
        <v>1</v>
      </c>
      <c r="E122" s="11" t="s">
        <v>59</v>
      </c>
      <c r="F122" s="11" t="s">
        <v>11</v>
      </c>
      <c r="G122" s="11" t="s">
        <v>28</v>
      </c>
      <c r="H122" s="32">
        <v>65</v>
      </c>
      <c r="I122" s="38">
        <f t="shared" si="4"/>
        <v>32500000</v>
      </c>
      <c r="K122" s="11"/>
      <c r="L122" s="10"/>
      <c r="M122" s="11"/>
      <c r="N122" s="11"/>
      <c r="O122" s="11"/>
      <c r="P122" s="11"/>
      <c r="Q122" s="11"/>
      <c r="R122" s="32"/>
      <c r="S122" s="11"/>
      <c r="T122" s="10"/>
      <c r="U122" s="11"/>
      <c r="V122" s="11"/>
      <c r="W122" s="11"/>
      <c r="X122" s="11"/>
      <c r="Y122" s="11"/>
      <c r="Z122" s="32"/>
      <c r="AA122" s="38"/>
      <c r="AC122" s="11"/>
      <c r="AD122" s="32"/>
      <c r="AE122" s="3"/>
      <c r="AF122" s="3"/>
      <c r="AG122" s="3"/>
      <c r="AH122" s="3"/>
      <c r="AI122" s="3"/>
      <c r="AJ122" s="3"/>
    </row>
    <row r="123" spans="1:36">
      <c r="A123" s="11" t="s">
        <v>192</v>
      </c>
      <c r="B123" s="10">
        <v>45678</v>
      </c>
      <c r="C123" s="11">
        <f>MONTH(Table1[[#This Row],[Ngày]])</f>
        <v>1</v>
      </c>
      <c r="D123" s="11">
        <f t="shared" si="3"/>
        <v>1</v>
      </c>
      <c r="E123" s="11" t="s">
        <v>59</v>
      </c>
      <c r="F123" s="11" t="s">
        <v>9</v>
      </c>
      <c r="G123" s="11" t="s">
        <v>27</v>
      </c>
      <c r="H123" s="32">
        <v>87</v>
      </c>
      <c r="I123" s="38">
        <f t="shared" si="4"/>
        <v>30450000</v>
      </c>
      <c r="K123" s="11"/>
      <c r="L123" s="10"/>
      <c r="M123" s="11"/>
      <c r="N123" s="11"/>
      <c r="O123" s="11"/>
      <c r="P123" s="11"/>
      <c r="Q123" s="11"/>
      <c r="R123" s="32"/>
      <c r="S123" s="11"/>
      <c r="T123" s="10"/>
      <c r="U123" s="11"/>
      <c r="V123" s="11"/>
      <c r="W123" s="11"/>
      <c r="X123" s="11"/>
      <c r="Y123" s="11"/>
      <c r="Z123" s="32"/>
      <c r="AA123" s="38"/>
      <c r="AC123" s="11"/>
      <c r="AD123" s="32"/>
      <c r="AE123" s="3"/>
      <c r="AF123" s="3"/>
      <c r="AG123" s="3"/>
      <c r="AH123" s="3"/>
      <c r="AI123" s="3"/>
      <c r="AJ123" s="3"/>
    </row>
    <row r="124" spans="1:36">
      <c r="A124" s="11" t="s">
        <v>193</v>
      </c>
      <c r="B124" s="10">
        <v>45667</v>
      </c>
      <c r="C124" s="11">
        <f>MONTH(Table1[[#This Row],[Ngày]])</f>
        <v>1</v>
      </c>
      <c r="D124" s="11">
        <f t="shared" si="3"/>
        <v>1</v>
      </c>
      <c r="E124" s="11" t="s">
        <v>59</v>
      </c>
      <c r="F124" s="11" t="s">
        <v>9</v>
      </c>
      <c r="G124" s="11" t="s">
        <v>28</v>
      </c>
      <c r="H124" s="32">
        <v>69</v>
      </c>
      <c r="I124" s="38">
        <f t="shared" si="4"/>
        <v>24150000</v>
      </c>
      <c r="K124" s="11"/>
      <c r="L124" s="10"/>
      <c r="M124" s="11"/>
      <c r="N124" s="11"/>
      <c r="O124" s="11"/>
      <c r="P124" s="11"/>
      <c r="Q124" s="11"/>
      <c r="R124" s="32"/>
      <c r="S124" s="11"/>
      <c r="T124" s="10"/>
      <c r="U124" s="11"/>
      <c r="V124" s="11"/>
      <c r="W124" s="11"/>
      <c r="X124" s="11"/>
      <c r="Y124" s="11"/>
      <c r="Z124" s="32"/>
      <c r="AA124" s="38"/>
      <c r="AC124" s="11"/>
      <c r="AD124" s="32"/>
      <c r="AE124" s="3"/>
      <c r="AF124" s="3"/>
      <c r="AG124" s="3"/>
      <c r="AH124" s="3"/>
      <c r="AI124" s="3"/>
      <c r="AJ124" s="3"/>
    </row>
    <row r="125" spans="1:36">
      <c r="A125" s="11" t="s">
        <v>194</v>
      </c>
      <c r="B125" s="10">
        <v>45660</v>
      </c>
      <c r="C125" s="11">
        <f>MONTH(Table1[[#This Row],[Ngày]])</f>
        <v>1</v>
      </c>
      <c r="D125" s="11">
        <f t="shared" si="3"/>
        <v>1</v>
      </c>
      <c r="E125" s="11" t="s">
        <v>64</v>
      </c>
      <c r="F125" s="11" t="s">
        <v>11</v>
      </c>
      <c r="G125" s="11" t="s">
        <v>27</v>
      </c>
      <c r="H125" s="32">
        <v>63</v>
      </c>
      <c r="I125" s="38">
        <f t="shared" si="4"/>
        <v>31500000</v>
      </c>
      <c r="K125" s="11"/>
      <c r="L125" s="10"/>
      <c r="M125" s="11"/>
      <c r="N125" s="11"/>
      <c r="O125" s="11"/>
      <c r="P125" s="11"/>
      <c r="Q125" s="11"/>
      <c r="R125" s="32"/>
      <c r="S125" s="11"/>
      <c r="T125" s="10"/>
      <c r="U125" s="11"/>
      <c r="V125" s="11"/>
      <c r="W125" s="11"/>
      <c r="X125" s="11"/>
      <c r="Y125" s="11"/>
      <c r="Z125" s="32"/>
      <c r="AA125" s="38"/>
      <c r="AC125" s="11"/>
      <c r="AD125" s="32"/>
      <c r="AE125" s="3"/>
      <c r="AF125" s="3"/>
      <c r="AG125" s="3"/>
      <c r="AH125" s="3"/>
      <c r="AI125" s="3"/>
      <c r="AJ125" s="3"/>
    </row>
    <row r="126" spans="1:36">
      <c r="A126" s="11" t="s">
        <v>195</v>
      </c>
      <c r="B126" s="10">
        <v>45673</v>
      </c>
      <c r="C126" s="11">
        <f>MONTH(Table1[[#This Row],[Ngày]])</f>
        <v>1</v>
      </c>
      <c r="D126" s="11">
        <f t="shared" si="3"/>
        <v>1</v>
      </c>
      <c r="E126" s="11" t="s">
        <v>51</v>
      </c>
      <c r="F126" s="11" t="s">
        <v>11</v>
      </c>
      <c r="G126" s="11" t="s">
        <v>27</v>
      </c>
      <c r="H126" s="32">
        <v>12</v>
      </c>
      <c r="I126" s="38">
        <f t="shared" si="4"/>
        <v>6000000</v>
      </c>
      <c r="K126" s="11"/>
      <c r="L126" s="10"/>
      <c r="M126" s="11"/>
      <c r="N126" s="11"/>
      <c r="O126" s="11"/>
      <c r="P126" s="11"/>
      <c r="Q126" s="11"/>
      <c r="R126" s="32"/>
      <c r="S126" s="11"/>
      <c r="T126" s="10"/>
      <c r="U126" s="11"/>
      <c r="V126" s="11"/>
      <c r="W126" s="11"/>
      <c r="X126" s="11"/>
      <c r="Y126" s="11"/>
      <c r="Z126" s="32"/>
      <c r="AA126" s="38"/>
      <c r="AC126" s="11"/>
      <c r="AD126" s="32"/>
      <c r="AE126" s="3"/>
      <c r="AF126" s="3"/>
      <c r="AG126" s="3"/>
      <c r="AH126" s="3"/>
      <c r="AI126" s="3"/>
      <c r="AJ126" s="3"/>
    </row>
    <row r="127" spans="1:36">
      <c r="A127" s="11" t="s">
        <v>196</v>
      </c>
      <c r="B127" s="10">
        <v>45703</v>
      </c>
      <c r="C127" s="11">
        <f>MONTH(Table1[[#This Row],[Ngày]])</f>
        <v>2</v>
      </c>
      <c r="D127" s="11">
        <f t="shared" si="3"/>
        <v>1</v>
      </c>
      <c r="E127" s="11" t="s">
        <v>51</v>
      </c>
      <c r="F127" s="11" t="s">
        <v>6</v>
      </c>
      <c r="G127" s="11" t="s">
        <v>28</v>
      </c>
      <c r="H127" s="32">
        <v>79</v>
      </c>
      <c r="I127" s="38">
        <f t="shared" si="4"/>
        <v>11850000</v>
      </c>
      <c r="K127" s="11"/>
      <c r="L127" s="10"/>
      <c r="M127" s="11"/>
      <c r="N127" s="11"/>
      <c r="O127" s="11"/>
      <c r="P127" s="11"/>
      <c r="Q127" s="11"/>
      <c r="R127" s="32"/>
      <c r="S127" s="11"/>
      <c r="T127" s="10"/>
      <c r="U127" s="11"/>
      <c r="V127" s="11"/>
      <c r="W127" s="11"/>
      <c r="X127" s="11"/>
      <c r="Y127" s="11"/>
      <c r="Z127" s="32"/>
      <c r="AA127" s="38"/>
      <c r="AC127" s="11"/>
      <c r="AD127" s="32"/>
      <c r="AE127" s="3"/>
      <c r="AF127" s="3"/>
      <c r="AG127" s="3"/>
      <c r="AH127" s="3"/>
      <c r="AI127" s="3"/>
      <c r="AJ127" s="3"/>
    </row>
    <row r="128" spans="1:36">
      <c r="A128" s="11" t="s">
        <v>197</v>
      </c>
      <c r="B128" s="10">
        <v>45678</v>
      </c>
      <c r="C128" s="11">
        <f>MONTH(Table1[[#This Row],[Ngày]])</f>
        <v>1</v>
      </c>
      <c r="D128" s="11">
        <f t="shared" si="3"/>
        <v>1</v>
      </c>
      <c r="E128" s="11" t="s">
        <v>59</v>
      </c>
      <c r="F128" s="11" t="s">
        <v>11</v>
      </c>
      <c r="G128" s="11" t="s">
        <v>28</v>
      </c>
      <c r="H128" s="32">
        <v>52</v>
      </c>
      <c r="I128" s="38">
        <f t="shared" si="4"/>
        <v>26000000</v>
      </c>
      <c r="K128" s="11"/>
      <c r="L128" s="10"/>
      <c r="M128" s="11"/>
      <c r="N128" s="11"/>
      <c r="O128" s="11"/>
      <c r="P128" s="11"/>
      <c r="Q128" s="11"/>
      <c r="R128" s="32"/>
      <c r="S128" s="11"/>
      <c r="T128" s="10"/>
      <c r="U128" s="11"/>
      <c r="V128" s="11"/>
      <c r="W128" s="11"/>
      <c r="X128" s="11"/>
      <c r="Y128" s="11"/>
      <c r="Z128" s="32"/>
      <c r="AA128" s="38"/>
      <c r="AC128" s="11"/>
      <c r="AD128" s="32"/>
      <c r="AE128" s="3"/>
      <c r="AF128" s="3"/>
      <c r="AG128" s="3"/>
      <c r="AH128" s="3"/>
      <c r="AI128" s="3"/>
      <c r="AJ128" s="3"/>
    </row>
    <row r="129" spans="1:36">
      <c r="A129" s="11" t="s">
        <v>198</v>
      </c>
      <c r="B129" s="10">
        <v>45677</v>
      </c>
      <c r="C129" s="11">
        <f>MONTH(Table1[[#This Row],[Ngày]])</f>
        <v>1</v>
      </c>
      <c r="D129" s="11">
        <f t="shared" si="3"/>
        <v>1</v>
      </c>
      <c r="E129" s="11" t="s">
        <v>55</v>
      </c>
      <c r="F129" s="11" t="s">
        <v>11</v>
      </c>
      <c r="G129" s="11" t="s">
        <v>28</v>
      </c>
      <c r="H129" s="32">
        <v>44</v>
      </c>
      <c r="I129" s="38">
        <f t="shared" si="4"/>
        <v>22000000</v>
      </c>
      <c r="K129" s="11"/>
      <c r="L129" s="10"/>
      <c r="M129" s="11"/>
      <c r="N129" s="11"/>
      <c r="O129" s="11"/>
      <c r="P129" s="11"/>
      <c r="Q129" s="11"/>
      <c r="R129" s="32"/>
      <c r="S129" s="11"/>
      <c r="T129" s="10"/>
      <c r="U129" s="11"/>
      <c r="V129" s="11"/>
      <c r="W129" s="11"/>
      <c r="X129" s="11"/>
      <c r="Y129" s="11"/>
      <c r="Z129" s="32"/>
      <c r="AA129" s="38"/>
      <c r="AC129" s="11"/>
      <c r="AD129" s="32"/>
      <c r="AE129" s="3"/>
      <c r="AF129" s="3"/>
      <c r="AG129" s="3"/>
      <c r="AH129" s="3"/>
      <c r="AI129" s="3"/>
      <c r="AJ129" s="3"/>
    </row>
    <row r="130" spans="1:36">
      <c r="A130" s="11" t="s">
        <v>199</v>
      </c>
      <c r="B130" s="10">
        <v>45682</v>
      </c>
      <c r="C130" s="11">
        <f>MONTH(Table1[[#This Row],[Ngày]])</f>
        <v>1</v>
      </c>
      <c r="D130" s="11">
        <f t="shared" ref="D130:D193" si="5">ROUNDUP($C130/3, 0)</f>
        <v>1</v>
      </c>
      <c r="E130" s="11" t="s">
        <v>64</v>
      </c>
      <c r="F130" s="11" t="s">
        <v>9</v>
      </c>
      <c r="G130" s="11" t="s">
        <v>27</v>
      </c>
      <c r="H130" s="32">
        <v>56</v>
      </c>
      <c r="I130" s="38">
        <f t="shared" ref="I130:I193" si="6">IF(F130="AS002", H130*350000,
IF(F130="AT001", H130*150000,
IF(F130="QT003", H130*500000, 0)))</f>
        <v>19600000</v>
      </c>
      <c r="K130" s="11"/>
      <c r="L130" s="10"/>
      <c r="M130" s="11"/>
      <c r="N130" s="11"/>
      <c r="O130" s="11"/>
      <c r="P130" s="11"/>
      <c r="Q130" s="11"/>
      <c r="R130" s="32"/>
      <c r="S130" s="11"/>
      <c r="T130" s="10"/>
      <c r="U130" s="11"/>
      <c r="V130" s="11"/>
      <c r="W130" s="11"/>
      <c r="X130" s="11"/>
      <c r="Y130" s="11"/>
      <c r="Z130" s="32"/>
      <c r="AA130" s="38"/>
      <c r="AC130" s="11"/>
      <c r="AD130" s="32"/>
      <c r="AE130" s="3"/>
      <c r="AF130" s="3"/>
      <c r="AG130" s="3"/>
      <c r="AH130" s="3"/>
      <c r="AI130" s="3"/>
      <c r="AJ130" s="3"/>
    </row>
    <row r="131" spans="1:36">
      <c r="A131" s="11" t="s">
        <v>200</v>
      </c>
      <c r="B131" s="10">
        <v>45668</v>
      </c>
      <c r="C131" s="11">
        <f>MONTH(Table1[[#This Row],[Ngày]])</f>
        <v>1</v>
      </c>
      <c r="D131" s="11">
        <f t="shared" si="5"/>
        <v>1</v>
      </c>
      <c r="E131" s="11" t="s">
        <v>64</v>
      </c>
      <c r="F131" s="11" t="s">
        <v>11</v>
      </c>
      <c r="G131" s="11" t="s">
        <v>28</v>
      </c>
      <c r="H131" s="32">
        <v>50</v>
      </c>
      <c r="I131" s="38">
        <f t="shared" si="6"/>
        <v>25000000</v>
      </c>
      <c r="K131" s="11"/>
      <c r="L131" s="10"/>
      <c r="M131" s="11"/>
      <c r="N131" s="11"/>
      <c r="O131" s="11"/>
      <c r="P131" s="11"/>
      <c r="Q131" s="11"/>
      <c r="R131" s="32"/>
      <c r="S131" s="11"/>
      <c r="T131" s="10"/>
      <c r="U131" s="11"/>
      <c r="V131" s="11"/>
      <c r="W131" s="11"/>
      <c r="X131" s="11"/>
      <c r="Y131" s="11"/>
      <c r="Z131" s="32"/>
      <c r="AA131" s="38"/>
      <c r="AC131" s="11"/>
      <c r="AD131" s="32"/>
      <c r="AE131" s="3"/>
      <c r="AF131" s="3"/>
      <c r="AG131" s="3"/>
      <c r="AH131" s="3"/>
      <c r="AI131" s="3"/>
      <c r="AJ131" s="3"/>
    </row>
    <row r="132" spans="1:36">
      <c r="A132" s="11" t="s">
        <v>201</v>
      </c>
      <c r="B132" s="10">
        <v>45700</v>
      </c>
      <c r="C132" s="11">
        <f>MONTH(Table1[[#This Row],[Ngày]])</f>
        <v>2</v>
      </c>
      <c r="D132" s="11">
        <f t="shared" si="5"/>
        <v>1</v>
      </c>
      <c r="E132" s="11" t="s">
        <v>51</v>
      </c>
      <c r="F132" s="11" t="s">
        <v>9</v>
      </c>
      <c r="G132" s="11" t="s">
        <v>27</v>
      </c>
      <c r="H132" s="32">
        <v>35</v>
      </c>
      <c r="I132" s="38">
        <f t="shared" si="6"/>
        <v>12250000</v>
      </c>
      <c r="K132" s="11"/>
      <c r="L132" s="10"/>
      <c r="M132" s="11"/>
      <c r="N132" s="11"/>
      <c r="O132" s="11"/>
      <c r="P132" s="11"/>
      <c r="Q132" s="11"/>
      <c r="R132" s="32"/>
      <c r="S132" s="11"/>
      <c r="T132" s="10"/>
      <c r="U132" s="11"/>
      <c r="V132" s="11"/>
      <c r="W132" s="11"/>
      <c r="X132" s="11"/>
      <c r="Y132" s="11"/>
      <c r="Z132" s="32"/>
      <c r="AA132" s="38"/>
      <c r="AC132" s="11"/>
      <c r="AD132" s="32"/>
      <c r="AE132" s="3"/>
      <c r="AF132" s="3"/>
      <c r="AG132" s="3"/>
      <c r="AH132" s="3"/>
      <c r="AI132" s="3"/>
      <c r="AJ132" s="3"/>
    </row>
    <row r="133" spans="1:36">
      <c r="A133" s="11" t="s">
        <v>202</v>
      </c>
      <c r="B133" s="10">
        <v>45707</v>
      </c>
      <c r="C133" s="11">
        <f>MONTH(Table1[[#This Row],[Ngày]])</f>
        <v>2</v>
      </c>
      <c r="D133" s="11">
        <f t="shared" si="5"/>
        <v>1</v>
      </c>
      <c r="E133" s="11" t="s">
        <v>61</v>
      </c>
      <c r="F133" s="11" t="s">
        <v>11</v>
      </c>
      <c r="G133" s="11" t="s">
        <v>27</v>
      </c>
      <c r="H133" s="32">
        <v>74</v>
      </c>
      <c r="I133" s="38">
        <f t="shared" si="6"/>
        <v>37000000</v>
      </c>
      <c r="K133" s="11"/>
      <c r="L133" s="10"/>
      <c r="M133" s="11"/>
      <c r="N133" s="11"/>
      <c r="O133" s="11"/>
      <c r="P133" s="11"/>
      <c r="Q133" s="11"/>
      <c r="R133" s="32"/>
      <c r="S133" s="11"/>
      <c r="T133" s="10"/>
      <c r="U133" s="11"/>
      <c r="V133" s="11"/>
      <c r="W133" s="11"/>
      <c r="X133" s="11"/>
      <c r="Y133" s="11"/>
      <c r="Z133" s="32"/>
      <c r="AA133" s="38"/>
      <c r="AC133" s="11"/>
      <c r="AD133" s="32"/>
      <c r="AE133" s="3"/>
      <c r="AF133" s="3"/>
      <c r="AG133" s="3"/>
      <c r="AH133" s="3"/>
      <c r="AI133" s="3"/>
      <c r="AJ133" s="3"/>
    </row>
    <row r="134" spans="1:36">
      <c r="A134" s="11" t="s">
        <v>203</v>
      </c>
      <c r="B134" s="10">
        <v>45683</v>
      </c>
      <c r="C134" s="11">
        <f>MONTH(Table1[[#This Row],[Ngày]])</f>
        <v>1</v>
      </c>
      <c r="D134" s="11">
        <f t="shared" si="5"/>
        <v>1</v>
      </c>
      <c r="E134" s="11" t="s">
        <v>59</v>
      </c>
      <c r="F134" s="11" t="s">
        <v>11</v>
      </c>
      <c r="G134" s="11" t="s">
        <v>28</v>
      </c>
      <c r="H134" s="32">
        <v>100</v>
      </c>
      <c r="I134" s="38">
        <f t="shared" si="6"/>
        <v>50000000</v>
      </c>
      <c r="K134" s="11"/>
      <c r="L134" s="10"/>
      <c r="M134" s="11"/>
      <c r="N134" s="11"/>
      <c r="O134" s="11"/>
      <c r="P134" s="11"/>
      <c r="Q134" s="11"/>
      <c r="R134" s="32"/>
      <c r="S134" s="11"/>
      <c r="T134" s="10"/>
      <c r="U134" s="11"/>
      <c r="V134" s="11"/>
      <c r="W134" s="11"/>
      <c r="X134" s="11"/>
      <c r="Y134" s="11"/>
      <c r="Z134" s="32"/>
      <c r="AA134" s="38"/>
      <c r="AC134" s="11"/>
      <c r="AD134" s="32"/>
      <c r="AE134" s="3"/>
      <c r="AF134" s="3"/>
      <c r="AG134" s="3"/>
      <c r="AH134" s="3"/>
      <c r="AI134" s="3"/>
      <c r="AJ134" s="3"/>
    </row>
    <row r="135" spans="1:36">
      <c r="A135" s="11" t="s">
        <v>204</v>
      </c>
      <c r="B135" s="10">
        <v>45715</v>
      </c>
      <c r="C135" s="11">
        <f>MONTH(Table1[[#This Row],[Ngày]])</f>
        <v>2</v>
      </c>
      <c r="D135" s="11">
        <f t="shared" si="5"/>
        <v>1</v>
      </c>
      <c r="E135" s="11" t="s">
        <v>61</v>
      </c>
      <c r="F135" s="11" t="s">
        <v>9</v>
      </c>
      <c r="G135" s="11" t="s">
        <v>27</v>
      </c>
      <c r="H135" s="32">
        <v>71</v>
      </c>
      <c r="I135" s="38">
        <f t="shared" si="6"/>
        <v>24850000</v>
      </c>
      <c r="K135" s="11"/>
      <c r="L135" s="10"/>
      <c r="M135" s="11"/>
      <c r="N135" s="11"/>
      <c r="O135" s="11"/>
      <c r="P135" s="11"/>
      <c r="Q135" s="11"/>
      <c r="R135" s="32"/>
      <c r="S135" s="11"/>
      <c r="T135" s="10"/>
      <c r="U135" s="11"/>
      <c r="V135" s="11"/>
      <c r="W135" s="11"/>
      <c r="X135" s="11"/>
      <c r="Y135" s="11"/>
      <c r="Z135" s="32"/>
      <c r="AA135" s="38"/>
      <c r="AC135" s="11"/>
      <c r="AD135" s="32"/>
      <c r="AE135" s="3"/>
      <c r="AF135" s="3"/>
      <c r="AG135" s="3"/>
      <c r="AH135" s="3"/>
      <c r="AI135" s="3"/>
      <c r="AJ135" s="3"/>
    </row>
    <row r="136" spans="1:36">
      <c r="A136" s="11" t="s">
        <v>205</v>
      </c>
      <c r="B136" s="10">
        <v>45680</v>
      </c>
      <c r="C136" s="11">
        <f>MONTH(Table1[[#This Row],[Ngày]])</f>
        <v>1</v>
      </c>
      <c r="D136" s="11">
        <f t="shared" si="5"/>
        <v>1</v>
      </c>
      <c r="E136" s="11" t="s">
        <v>51</v>
      </c>
      <c r="F136" s="11" t="s">
        <v>11</v>
      </c>
      <c r="G136" s="11" t="s">
        <v>28</v>
      </c>
      <c r="H136" s="32">
        <v>62</v>
      </c>
      <c r="I136" s="38">
        <f t="shared" si="6"/>
        <v>31000000</v>
      </c>
      <c r="K136" s="11"/>
      <c r="L136" s="10"/>
      <c r="M136" s="11"/>
      <c r="N136" s="11"/>
      <c r="O136" s="11"/>
      <c r="P136" s="11"/>
      <c r="Q136" s="11"/>
      <c r="R136" s="32"/>
      <c r="S136" s="11"/>
      <c r="T136" s="10"/>
      <c r="U136" s="11"/>
      <c r="V136" s="11"/>
      <c r="W136" s="11"/>
      <c r="X136" s="11"/>
      <c r="Y136" s="11"/>
      <c r="Z136" s="32"/>
      <c r="AA136" s="38"/>
      <c r="AC136" s="11"/>
      <c r="AD136" s="32"/>
      <c r="AE136" s="3"/>
      <c r="AF136" s="3"/>
      <c r="AG136" s="3"/>
      <c r="AH136" s="3"/>
      <c r="AI136" s="3"/>
      <c r="AJ136" s="3"/>
    </row>
    <row r="137" spans="1:36">
      <c r="A137" s="11" t="s">
        <v>206</v>
      </c>
      <c r="B137" s="10">
        <v>45683</v>
      </c>
      <c r="C137" s="11">
        <f>MONTH(Table1[[#This Row],[Ngày]])</f>
        <v>1</v>
      </c>
      <c r="D137" s="11">
        <f t="shared" si="5"/>
        <v>1</v>
      </c>
      <c r="E137" s="11" t="s">
        <v>64</v>
      </c>
      <c r="F137" s="11" t="s">
        <v>6</v>
      </c>
      <c r="G137" s="11" t="s">
        <v>28</v>
      </c>
      <c r="H137" s="32">
        <v>64</v>
      </c>
      <c r="I137" s="38">
        <f t="shared" si="6"/>
        <v>9600000</v>
      </c>
      <c r="K137" s="11"/>
      <c r="L137" s="10"/>
      <c r="M137" s="11"/>
      <c r="N137" s="11"/>
      <c r="O137" s="11"/>
      <c r="P137" s="11"/>
      <c r="Q137" s="11"/>
      <c r="R137" s="32"/>
      <c r="S137" s="11"/>
      <c r="T137" s="10"/>
      <c r="U137" s="11"/>
      <c r="V137" s="11"/>
      <c r="W137" s="11"/>
      <c r="X137" s="11"/>
      <c r="Y137" s="11"/>
      <c r="Z137" s="32"/>
      <c r="AA137" s="38"/>
      <c r="AC137" s="11"/>
      <c r="AD137" s="32"/>
      <c r="AE137" s="3"/>
      <c r="AF137" s="3"/>
      <c r="AG137" s="3"/>
      <c r="AH137" s="3"/>
      <c r="AI137" s="3"/>
      <c r="AJ137" s="3"/>
    </row>
    <row r="138" spans="1:36">
      <c r="A138" s="11" t="s">
        <v>207</v>
      </c>
      <c r="B138" s="10">
        <v>45660</v>
      </c>
      <c r="C138" s="11">
        <f>MONTH(Table1[[#This Row],[Ngày]])</f>
        <v>1</v>
      </c>
      <c r="D138" s="11">
        <f t="shared" si="5"/>
        <v>1</v>
      </c>
      <c r="E138" s="11" t="s">
        <v>64</v>
      </c>
      <c r="F138" s="11" t="s">
        <v>9</v>
      </c>
      <c r="G138" s="11" t="s">
        <v>28</v>
      </c>
      <c r="H138" s="32">
        <v>63</v>
      </c>
      <c r="I138" s="38">
        <f t="shared" si="6"/>
        <v>22050000</v>
      </c>
      <c r="K138" s="11"/>
      <c r="L138" s="10"/>
      <c r="M138" s="11"/>
      <c r="N138" s="11"/>
      <c r="O138" s="11"/>
      <c r="P138" s="11"/>
      <c r="Q138" s="11"/>
      <c r="R138" s="32"/>
      <c r="S138" s="11"/>
      <c r="T138" s="10"/>
      <c r="U138" s="11"/>
      <c r="V138" s="11"/>
      <c r="W138" s="11"/>
      <c r="X138" s="11"/>
      <c r="Y138" s="11"/>
      <c r="Z138" s="32"/>
      <c r="AA138" s="38"/>
      <c r="AC138" s="11"/>
      <c r="AD138" s="32"/>
      <c r="AE138" s="3"/>
      <c r="AF138" s="3"/>
      <c r="AG138" s="3"/>
      <c r="AH138" s="3"/>
      <c r="AI138" s="3"/>
      <c r="AJ138" s="3"/>
    </row>
    <row r="139" spans="1:36">
      <c r="A139" s="11" t="s">
        <v>208</v>
      </c>
      <c r="B139" s="10">
        <v>45675</v>
      </c>
      <c r="C139" s="11">
        <f>MONTH(Table1[[#This Row],[Ngày]])</f>
        <v>1</v>
      </c>
      <c r="D139" s="11">
        <f t="shared" si="5"/>
        <v>1</v>
      </c>
      <c r="E139" s="11" t="s">
        <v>51</v>
      </c>
      <c r="F139" s="11" t="s">
        <v>6</v>
      </c>
      <c r="G139" s="11" t="s">
        <v>27</v>
      </c>
      <c r="H139" s="32">
        <v>38</v>
      </c>
      <c r="I139" s="38">
        <f t="shared" si="6"/>
        <v>5700000</v>
      </c>
      <c r="K139" s="11"/>
      <c r="L139" s="10"/>
      <c r="M139" s="11"/>
      <c r="N139" s="11"/>
      <c r="O139" s="11"/>
      <c r="P139" s="11"/>
      <c r="Q139" s="11"/>
      <c r="R139" s="32"/>
      <c r="S139" s="11"/>
      <c r="T139" s="10"/>
      <c r="U139" s="11"/>
      <c r="V139" s="11"/>
      <c r="W139" s="11"/>
      <c r="X139" s="11"/>
      <c r="Y139" s="11"/>
      <c r="Z139" s="32"/>
      <c r="AA139" s="38"/>
      <c r="AC139" s="11"/>
      <c r="AD139" s="32"/>
      <c r="AE139" s="3"/>
      <c r="AF139" s="3"/>
      <c r="AG139" s="3"/>
      <c r="AH139" s="3"/>
      <c r="AI139" s="3"/>
      <c r="AJ139" s="3"/>
    </row>
    <row r="140" spans="1:36">
      <c r="A140" s="11" t="s">
        <v>209</v>
      </c>
      <c r="B140" s="10">
        <v>45669</v>
      </c>
      <c r="C140" s="11">
        <f>MONTH(Table1[[#This Row],[Ngày]])</f>
        <v>1</v>
      </c>
      <c r="D140" s="11">
        <f t="shared" si="5"/>
        <v>1</v>
      </c>
      <c r="E140" s="11" t="s">
        <v>55</v>
      </c>
      <c r="F140" s="11" t="s">
        <v>6</v>
      </c>
      <c r="G140" s="11" t="s">
        <v>27</v>
      </c>
      <c r="H140" s="32">
        <v>79</v>
      </c>
      <c r="I140" s="38">
        <f t="shared" si="6"/>
        <v>11850000</v>
      </c>
      <c r="K140" s="11"/>
      <c r="L140" s="10"/>
      <c r="M140" s="11"/>
      <c r="N140" s="11"/>
      <c r="O140" s="11"/>
      <c r="P140" s="11"/>
      <c r="Q140" s="11"/>
      <c r="R140" s="32"/>
      <c r="S140" s="11"/>
      <c r="T140" s="10"/>
      <c r="U140" s="11"/>
      <c r="V140" s="11"/>
      <c r="W140" s="11"/>
      <c r="X140" s="11"/>
      <c r="Y140" s="11"/>
      <c r="Z140" s="32"/>
      <c r="AA140" s="38"/>
      <c r="AC140" s="11"/>
      <c r="AD140" s="32"/>
      <c r="AE140" s="3"/>
      <c r="AF140" s="3"/>
      <c r="AG140" s="3"/>
      <c r="AH140" s="3"/>
      <c r="AI140" s="3"/>
      <c r="AJ140" s="3"/>
    </row>
    <row r="141" spans="1:36">
      <c r="A141" s="11" t="s">
        <v>210</v>
      </c>
      <c r="B141" s="10">
        <v>45661</v>
      </c>
      <c r="C141" s="11">
        <f>MONTH(Table1[[#This Row],[Ngày]])</f>
        <v>1</v>
      </c>
      <c r="D141" s="11">
        <f t="shared" si="5"/>
        <v>1</v>
      </c>
      <c r="E141" s="11" t="s">
        <v>61</v>
      </c>
      <c r="F141" s="11" t="s">
        <v>9</v>
      </c>
      <c r="G141" s="11" t="s">
        <v>27</v>
      </c>
      <c r="H141" s="32">
        <v>32</v>
      </c>
      <c r="I141" s="38">
        <f t="shared" si="6"/>
        <v>11200000</v>
      </c>
      <c r="K141" s="11"/>
      <c r="L141" s="10"/>
      <c r="M141" s="11"/>
      <c r="N141" s="11"/>
      <c r="O141" s="11"/>
      <c r="P141" s="11"/>
      <c r="Q141" s="11"/>
      <c r="R141" s="32"/>
      <c r="S141" s="11"/>
      <c r="T141" s="10"/>
      <c r="U141" s="11"/>
      <c r="V141" s="11"/>
      <c r="W141" s="11"/>
      <c r="X141" s="11"/>
      <c r="Y141" s="11"/>
      <c r="Z141" s="32"/>
      <c r="AA141" s="38"/>
      <c r="AC141" s="11"/>
      <c r="AD141" s="32"/>
      <c r="AE141" s="3"/>
      <c r="AF141" s="3"/>
      <c r="AG141" s="3"/>
      <c r="AH141" s="3"/>
      <c r="AI141" s="3"/>
      <c r="AJ141" s="3"/>
    </row>
    <row r="142" spans="1:36">
      <c r="A142" s="11" t="s">
        <v>211</v>
      </c>
      <c r="B142" s="10">
        <v>45691</v>
      </c>
      <c r="C142" s="11">
        <f>MONTH(Table1[[#This Row],[Ngày]])</f>
        <v>2</v>
      </c>
      <c r="D142" s="11">
        <f t="shared" si="5"/>
        <v>1</v>
      </c>
      <c r="E142" s="11" t="s">
        <v>61</v>
      </c>
      <c r="F142" s="11" t="s">
        <v>9</v>
      </c>
      <c r="G142" s="11" t="s">
        <v>28</v>
      </c>
      <c r="H142" s="32">
        <v>59</v>
      </c>
      <c r="I142" s="38">
        <f t="shared" si="6"/>
        <v>20650000</v>
      </c>
      <c r="K142" s="11"/>
      <c r="L142" s="10"/>
      <c r="M142" s="11"/>
      <c r="N142" s="11"/>
      <c r="O142" s="11"/>
      <c r="P142" s="11"/>
      <c r="Q142" s="11"/>
      <c r="R142" s="32"/>
      <c r="S142" s="11"/>
      <c r="T142" s="10"/>
      <c r="U142" s="11"/>
      <c r="V142" s="11"/>
      <c r="W142" s="11"/>
      <c r="X142" s="11"/>
      <c r="Y142" s="11"/>
      <c r="Z142" s="32"/>
      <c r="AA142" s="38"/>
      <c r="AC142" s="11"/>
      <c r="AD142" s="32"/>
      <c r="AE142" s="3"/>
      <c r="AF142" s="3"/>
      <c r="AG142" s="3"/>
      <c r="AH142" s="3"/>
      <c r="AI142" s="3"/>
      <c r="AJ142" s="3"/>
    </row>
    <row r="143" spans="1:36">
      <c r="A143" s="11" t="s">
        <v>212</v>
      </c>
      <c r="B143" s="10">
        <v>45707</v>
      </c>
      <c r="C143" s="11">
        <f>MONTH(Table1[[#This Row],[Ngày]])</f>
        <v>2</v>
      </c>
      <c r="D143" s="11">
        <f t="shared" si="5"/>
        <v>1</v>
      </c>
      <c r="E143" s="11" t="s">
        <v>55</v>
      </c>
      <c r="F143" s="11" t="s">
        <v>11</v>
      </c>
      <c r="G143" s="11" t="s">
        <v>27</v>
      </c>
      <c r="H143" s="32">
        <v>71</v>
      </c>
      <c r="I143" s="38">
        <f t="shared" si="6"/>
        <v>35500000</v>
      </c>
      <c r="K143" s="11"/>
      <c r="L143" s="10"/>
      <c r="M143" s="11"/>
      <c r="N143" s="11"/>
      <c r="O143" s="11"/>
      <c r="P143" s="11"/>
      <c r="Q143" s="11"/>
      <c r="R143" s="32"/>
      <c r="S143" s="11"/>
      <c r="T143" s="10"/>
      <c r="U143" s="11"/>
      <c r="V143" s="11"/>
      <c r="W143" s="11"/>
      <c r="X143" s="11"/>
      <c r="Y143" s="11"/>
      <c r="Z143" s="32"/>
      <c r="AA143" s="38"/>
      <c r="AC143" s="11"/>
      <c r="AD143" s="32"/>
      <c r="AE143" s="3"/>
      <c r="AF143" s="3"/>
      <c r="AG143" s="3"/>
      <c r="AH143" s="3"/>
      <c r="AI143" s="3"/>
      <c r="AJ143" s="3"/>
    </row>
    <row r="144" spans="1:36">
      <c r="A144" s="11" t="s">
        <v>213</v>
      </c>
      <c r="B144" s="10">
        <v>45702</v>
      </c>
      <c r="C144" s="11">
        <f>MONTH(Table1[[#This Row],[Ngày]])</f>
        <v>2</v>
      </c>
      <c r="D144" s="11">
        <f t="shared" si="5"/>
        <v>1</v>
      </c>
      <c r="E144" s="11" t="s">
        <v>51</v>
      </c>
      <c r="F144" s="11" t="s">
        <v>11</v>
      </c>
      <c r="G144" s="11" t="s">
        <v>27</v>
      </c>
      <c r="H144" s="32">
        <v>50</v>
      </c>
      <c r="I144" s="38">
        <f t="shared" si="6"/>
        <v>25000000</v>
      </c>
      <c r="K144" s="11"/>
      <c r="L144" s="10"/>
      <c r="M144" s="11"/>
      <c r="N144" s="11"/>
      <c r="O144" s="11"/>
      <c r="P144" s="11"/>
      <c r="Q144" s="11"/>
      <c r="R144" s="32"/>
      <c r="S144" s="11"/>
      <c r="T144" s="10"/>
      <c r="U144" s="11"/>
      <c r="V144" s="11"/>
      <c r="W144" s="11"/>
      <c r="X144" s="11"/>
      <c r="Y144" s="11"/>
      <c r="Z144" s="32"/>
      <c r="AA144" s="38"/>
      <c r="AC144" s="11"/>
      <c r="AD144" s="32"/>
      <c r="AE144" s="3"/>
      <c r="AF144" s="3"/>
      <c r="AG144" s="3"/>
      <c r="AH144" s="3"/>
      <c r="AI144" s="3"/>
      <c r="AJ144" s="3"/>
    </row>
    <row r="145" spans="1:36">
      <c r="A145" s="11" t="s">
        <v>214</v>
      </c>
      <c r="B145" s="10">
        <v>45669</v>
      </c>
      <c r="C145" s="11">
        <f>MONTH(Table1[[#This Row],[Ngày]])</f>
        <v>1</v>
      </c>
      <c r="D145" s="11">
        <f t="shared" si="5"/>
        <v>1</v>
      </c>
      <c r="E145" s="11" t="s">
        <v>55</v>
      </c>
      <c r="F145" s="11" t="s">
        <v>6</v>
      </c>
      <c r="G145" s="11" t="s">
        <v>27</v>
      </c>
      <c r="H145" s="32">
        <v>26</v>
      </c>
      <c r="I145" s="38">
        <f t="shared" si="6"/>
        <v>3900000</v>
      </c>
      <c r="K145" s="11"/>
      <c r="L145" s="10"/>
      <c r="M145" s="11"/>
      <c r="N145" s="11"/>
      <c r="O145" s="11"/>
      <c r="P145" s="11"/>
      <c r="Q145" s="11"/>
      <c r="R145" s="32"/>
      <c r="S145" s="11"/>
      <c r="T145" s="10"/>
      <c r="U145" s="11"/>
      <c r="V145" s="11"/>
      <c r="W145" s="11"/>
      <c r="X145" s="11"/>
      <c r="Y145" s="11"/>
      <c r="Z145" s="32"/>
      <c r="AA145" s="38"/>
      <c r="AC145" s="11"/>
      <c r="AD145" s="32"/>
      <c r="AE145" s="3"/>
      <c r="AF145" s="3"/>
      <c r="AG145" s="3"/>
      <c r="AH145" s="3"/>
      <c r="AI145" s="3"/>
      <c r="AJ145" s="3"/>
    </row>
    <row r="146" spans="1:36">
      <c r="A146" s="11" t="s">
        <v>215</v>
      </c>
      <c r="B146" s="10">
        <v>45673</v>
      </c>
      <c r="C146" s="11">
        <f>MONTH(Table1[[#This Row],[Ngày]])</f>
        <v>1</v>
      </c>
      <c r="D146" s="11">
        <f t="shared" si="5"/>
        <v>1</v>
      </c>
      <c r="E146" s="11" t="s">
        <v>59</v>
      </c>
      <c r="F146" s="11" t="s">
        <v>6</v>
      </c>
      <c r="G146" s="11" t="s">
        <v>27</v>
      </c>
      <c r="H146" s="32">
        <v>69</v>
      </c>
      <c r="I146" s="38">
        <f t="shared" si="6"/>
        <v>10350000</v>
      </c>
      <c r="K146" s="11"/>
      <c r="L146" s="10"/>
      <c r="M146" s="11"/>
      <c r="N146" s="11"/>
      <c r="O146" s="11"/>
      <c r="P146" s="11"/>
      <c r="Q146" s="11"/>
      <c r="R146" s="32"/>
      <c r="S146" s="11"/>
      <c r="T146" s="10"/>
      <c r="U146" s="11"/>
      <c r="V146" s="11"/>
      <c r="W146" s="11"/>
      <c r="X146" s="11"/>
      <c r="Y146" s="11"/>
      <c r="Z146" s="32"/>
      <c r="AA146" s="38"/>
      <c r="AC146" s="11"/>
      <c r="AD146" s="32"/>
      <c r="AE146" s="3"/>
      <c r="AF146" s="3"/>
      <c r="AG146" s="3"/>
      <c r="AH146" s="3"/>
      <c r="AI146" s="3"/>
      <c r="AJ146" s="3"/>
    </row>
    <row r="147" spans="1:36">
      <c r="A147" s="11" t="s">
        <v>216</v>
      </c>
      <c r="B147" s="10">
        <v>45697</v>
      </c>
      <c r="C147" s="11">
        <f>MONTH(Table1[[#This Row],[Ngày]])</f>
        <v>2</v>
      </c>
      <c r="D147" s="11">
        <f t="shared" si="5"/>
        <v>1</v>
      </c>
      <c r="E147" s="11" t="s">
        <v>55</v>
      </c>
      <c r="F147" s="11" t="s">
        <v>9</v>
      </c>
      <c r="G147" s="11" t="s">
        <v>27</v>
      </c>
      <c r="H147" s="32">
        <v>26</v>
      </c>
      <c r="I147" s="38">
        <f t="shared" si="6"/>
        <v>9100000</v>
      </c>
      <c r="K147" s="11"/>
      <c r="L147" s="10"/>
      <c r="M147" s="11"/>
      <c r="N147" s="11"/>
      <c r="O147" s="11"/>
      <c r="P147" s="11"/>
      <c r="Q147" s="11"/>
      <c r="R147" s="32"/>
      <c r="S147" s="11"/>
      <c r="T147" s="10"/>
      <c r="U147" s="11"/>
      <c r="V147" s="11"/>
      <c r="W147" s="11"/>
      <c r="X147" s="11"/>
      <c r="Y147" s="11"/>
      <c r="Z147" s="32"/>
      <c r="AA147" s="38"/>
      <c r="AC147" s="11"/>
      <c r="AD147" s="32"/>
      <c r="AE147" s="3"/>
      <c r="AF147" s="3"/>
      <c r="AG147" s="3"/>
      <c r="AH147" s="3"/>
      <c r="AI147" s="3"/>
      <c r="AJ147" s="3"/>
    </row>
    <row r="148" spans="1:36">
      <c r="A148" s="11" t="s">
        <v>217</v>
      </c>
      <c r="B148" s="10">
        <v>45709</v>
      </c>
      <c r="C148" s="11">
        <f>MONTH(Table1[[#This Row],[Ngày]])</f>
        <v>2</v>
      </c>
      <c r="D148" s="11">
        <f t="shared" si="5"/>
        <v>1</v>
      </c>
      <c r="E148" s="11" t="s">
        <v>64</v>
      </c>
      <c r="F148" s="11" t="s">
        <v>6</v>
      </c>
      <c r="G148" s="11" t="s">
        <v>28</v>
      </c>
      <c r="H148" s="32">
        <v>99</v>
      </c>
      <c r="I148" s="38">
        <f t="shared" si="6"/>
        <v>14850000</v>
      </c>
      <c r="K148" s="11"/>
      <c r="L148" s="10"/>
      <c r="M148" s="11"/>
      <c r="N148" s="11"/>
      <c r="O148" s="11"/>
      <c r="P148" s="11"/>
      <c r="Q148" s="11"/>
      <c r="R148" s="32"/>
      <c r="S148" s="11"/>
      <c r="T148" s="10"/>
      <c r="U148" s="11"/>
      <c r="V148" s="11"/>
      <c r="W148" s="11"/>
      <c r="X148" s="11"/>
      <c r="Y148" s="11"/>
      <c r="Z148" s="32"/>
      <c r="AA148" s="38"/>
      <c r="AC148" s="11"/>
      <c r="AD148" s="32"/>
      <c r="AE148" s="3"/>
      <c r="AF148" s="3"/>
      <c r="AG148" s="3"/>
      <c r="AH148" s="3"/>
      <c r="AI148" s="3"/>
      <c r="AJ148" s="3"/>
    </row>
    <row r="149" spans="1:36">
      <c r="A149" s="11" t="s">
        <v>218</v>
      </c>
      <c r="B149" s="10">
        <v>45707</v>
      </c>
      <c r="C149" s="11">
        <f>MONTH(Table1[[#This Row],[Ngày]])</f>
        <v>2</v>
      </c>
      <c r="D149" s="11">
        <f t="shared" si="5"/>
        <v>1</v>
      </c>
      <c r="E149" s="11" t="s">
        <v>51</v>
      </c>
      <c r="F149" s="11" t="s">
        <v>9</v>
      </c>
      <c r="G149" s="11" t="s">
        <v>27</v>
      </c>
      <c r="H149" s="32">
        <v>38</v>
      </c>
      <c r="I149" s="38">
        <f t="shared" si="6"/>
        <v>13300000</v>
      </c>
      <c r="K149" s="11"/>
      <c r="L149" s="10"/>
      <c r="M149" s="11"/>
      <c r="N149" s="11"/>
      <c r="O149" s="11"/>
      <c r="P149" s="11"/>
      <c r="Q149" s="11"/>
      <c r="R149" s="32"/>
      <c r="S149" s="11"/>
      <c r="T149" s="10"/>
      <c r="U149" s="11"/>
      <c r="V149" s="11"/>
      <c r="W149" s="11"/>
      <c r="X149" s="11"/>
      <c r="Y149" s="11"/>
      <c r="Z149" s="32"/>
      <c r="AA149" s="38"/>
      <c r="AC149" s="11"/>
      <c r="AD149" s="32"/>
      <c r="AE149" s="3"/>
      <c r="AF149" s="3"/>
      <c r="AG149" s="3"/>
      <c r="AH149" s="3"/>
      <c r="AI149" s="3"/>
      <c r="AJ149" s="3"/>
    </row>
    <row r="150" spans="1:36">
      <c r="A150" s="11" t="s">
        <v>219</v>
      </c>
      <c r="B150" s="10">
        <v>45718</v>
      </c>
      <c r="C150" s="11">
        <f>MONTH(Table1[[#This Row],[Ngày]])</f>
        <v>3</v>
      </c>
      <c r="D150" s="11">
        <f t="shared" si="5"/>
        <v>1</v>
      </c>
      <c r="E150" s="11" t="s">
        <v>61</v>
      </c>
      <c r="F150" s="11" t="s">
        <v>11</v>
      </c>
      <c r="G150" s="11" t="s">
        <v>27</v>
      </c>
      <c r="H150" s="32">
        <v>87</v>
      </c>
      <c r="I150" s="38">
        <f t="shared" si="6"/>
        <v>43500000</v>
      </c>
      <c r="K150" s="11"/>
      <c r="L150" s="10"/>
      <c r="M150" s="11"/>
      <c r="N150" s="11"/>
      <c r="O150" s="11"/>
      <c r="P150" s="11"/>
      <c r="Q150" s="11"/>
      <c r="R150" s="32"/>
      <c r="S150" s="11"/>
      <c r="T150" s="10"/>
      <c r="U150" s="11"/>
      <c r="V150" s="11"/>
      <c r="W150" s="11"/>
      <c r="X150" s="11"/>
      <c r="Y150" s="11"/>
      <c r="Z150" s="32"/>
      <c r="AA150" s="38"/>
      <c r="AC150" s="11"/>
      <c r="AD150" s="32"/>
      <c r="AE150" s="3"/>
      <c r="AF150" s="3"/>
      <c r="AG150" s="3"/>
      <c r="AH150" s="3"/>
      <c r="AI150" s="3"/>
      <c r="AJ150" s="3"/>
    </row>
    <row r="151" spans="1:36">
      <c r="A151" s="11" t="s">
        <v>220</v>
      </c>
      <c r="B151" s="10">
        <v>45689</v>
      </c>
      <c r="C151" s="11">
        <f>MONTH(Table1[[#This Row],[Ngày]])</f>
        <v>2</v>
      </c>
      <c r="D151" s="11">
        <f t="shared" si="5"/>
        <v>1</v>
      </c>
      <c r="E151" s="11" t="s">
        <v>55</v>
      </c>
      <c r="F151" s="11" t="s">
        <v>9</v>
      </c>
      <c r="G151" s="11" t="s">
        <v>28</v>
      </c>
      <c r="H151" s="32">
        <v>78</v>
      </c>
      <c r="I151" s="38">
        <f t="shared" si="6"/>
        <v>27300000</v>
      </c>
      <c r="K151" s="11"/>
      <c r="L151" s="10"/>
      <c r="M151" s="11"/>
      <c r="N151" s="11"/>
      <c r="O151" s="11"/>
      <c r="P151" s="11"/>
      <c r="Q151" s="11"/>
      <c r="R151" s="32"/>
      <c r="S151" s="11"/>
      <c r="T151" s="10"/>
      <c r="U151" s="11"/>
      <c r="V151" s="11"/>
      <c r="W151" s="11"/>
      <c r="X151" s="11"/>
      <c r="Y151" s="11"/>
      <c r="Z151" s="32"/>
      <c r="AA151" s="38"/>
      <c r="AC151" s="11"/>
      <c r="AD151" s="32"/>
      <c r="AE151" s="3"/>
      <c r="AF151" s="3"/>
      <c r="AG151" s="3"/>
      <c r="AH151" s="3"/>
      <c r="AI151" s="3"/>
      <c r="AJ151" s="3"/>
    </row>
    <row r="152" spans="1:36">
      <c r="A152" s="11" t="s">
        <v>221</v>
      </c>
      <c r="B152" s="10">
        <v>45687</v>
      </c>
      <c r="C152" s="11">
        <f>MONTH(Table1[[#This Row],[Ngày]])</f>
        <v>1</v>
      </c>
      <c r="D152" s="11">
        <f t="shared" si="5"/>
        <v>1</v>
      </c>
      <c r="E152" s="11" t="s">
        <v>59</v>
      </c>
      <c r="F152" s="11" t="s">
        <v>6</v>
      </c>
      <c r="G152" s="11" t="s">
        <v>28</v>
      </c>
      <c r="H152" s="32">
        <v>36</v>
      </c>
      <c r="I152" s="38">
        <f t="shared" si="6"/>
        <v>5400000</v>
      </c>
      <c r="K152" s="11"/>
      <c r="L152" s="10"/>
      <c r="M152" s="11"/>
      <c r="N152" s="11"/>
      <c r="O152" s="11"/>
      <c r="P152" s="11"/>
      <c r="Q152" s="11"/>
      <c r="R152" s="32"/>
      <c r="S152" s="11"/>
      <c r="T152" s="10"/>
      <c r="U152" s="11"/>
      <c r="V152" s="11"/>
      <c r="W152" s="11"/>
      <c r="X152" s="11"/>
      <c r="Y152" s="11"/>
      <c r="Z152" s="32"/>
      <c r="AA152" s="38"/>
      <c r="AC152" s="11"/>
      <c r="AD152" s="32"/>
      <c r="AE152" s="3"/>
      <c r="AF152" s="3"/>
      <c r="AG152" s="3"/>
      <c r="AH152" s="3"/>
      <c r="AI152" s="3"/>
      <c r="AJ152" s="3"/>
    </row>
    <row r="153" spans="1:36">
      <c r="A153" s="11" t="s">
        <v>222</v>
      </c>
      <c r="B153" s="10">
        <v>45660</v>
      </c>
      <c r="C153" s="11">
        <f>MONTH(Table1[[#This Row],[Ngày]])</f>
        <v>1</v>
      </c>
      <c r="D153" s="11">
        <f t="shared" si="5"/>
        <v>1</v>
      </c>
      <c r="E153" s="11" t="s">
        <v>51</v>
      </c>
      <c r="F153" s="11" t="s">
        <v>11</v>
      </c>
      <c r="G153" s="11" t="s">
        <v>27</v>
      </c>
      <c r="H153" s="32">
        <v>93</v>
      </c>
      <c r="I153" s="38">
        <f t="shared" si="6"/>
        <v>46500000</v>
      </c>
      <c r="K153" s="11"/>
      <c r="L153" s="10"/>
      <c r="M153" s="11"/>
      <c r="N153" s="11"/>
      <c r="O153" s="11"/>
      <c r="P153" s="11"/>
      <c r="Q153" s="11"/>
      <c r="R153" s="32"/>
      <c r="S153" s="11"/>
      <c r="T153" s="10"/>
      <c r="U153" s="11"/>
      <c r="V153" s="11"/>
      <c r="W153" s="11"/>
      <c r="X153" s="11"/>
      <c r="Y153" s="11"/>
      <c r="Z153" s="32"/>
      <c r="AA153" s="38"/>
      <c r="AC153" s="11"/>
      <c r="AD153" s="32"/>
      <c r="AE153" s="3"/>
      <c r="AF153" s="3"/>
      <c r="AG153" s="3"/>
      <c r="AH153" s="3"/>
      <c r="AI153" s="3"/>
      <c r="AJ153" s="3"/>
    </row>
    <row r="154" spans="1:36">
      <c r="A154" s="11" t="s">
        <v>223</v>
      </c>
      <c r="B154" s="10">
        <v>45668</v>
      </c>
      <c r="C154" s="11">
        <f>MONTH(Table1[[#This Row],[Ngày]])</f>
        <v>1</v>
      </c>
      <c r="D154" s="11">
        <f t="shared" si="5"/>
        <v>1</v>
      </c>
      <c r="E154" s="11" t="s">
        <v>64</v>
      </c>
      <c r="F154" s="11" t="s">
        <v>11</v>
      </c>
      <c r="G154" s="11" t="s">
        <v>28</v>
      </c>
      <c r="H154" s="32">
        <v>45</v>
      </c>
      <c r="I154" s="38">
        <f t="shared" si="6"/>
        <v>22500000</v>
      </c>
      <c r="K154" s="11"/>
      <c r="L154" s="10"/>
      <c r="M154" s="11"/>
      <c r="N154" s="11"/>
      <c r="O154" s="11"/>
      <c r="P154" s="11"/>
      <c r="Q154" s="11"/>
      <c r="R154" s="32"/>
      <c r="S154" s="11"/>
      <c r="T154" s="10"/>
      <c r="U154" s="11"/>
      <c r="V154" s="11"/>
      <c r="W154" s="11"/>
      <c r="X154" s="11"/>
      <c r="Y154" s="11"/>
      <c r="Z154" s="32"/>
      <c r="AA154" s="38"/>
      <c r="AC154" s="11"/>
      <c r="AD154" s="32"/>
      <c r="AE154" s="3"/>
      <c r="AF154" s="3"/>
      <c r="AG154" s="3"/>
      <c r="AH154" s="3"/>
      <c r="AI154" s="3"/>
      <c r="AJ154" s="3"/>
    </row>
    <row r="155" spans="1:36">
      <c r="A155" s="11" t="s">
        <v>224</v>
      </c>
      <c r="B155" s="10">
        <v>45661</v>
      </c>
      <c r="C155" s="11">
        <f>MONTH(Table1[[#This Row],[Ngày]])</f>
        <v>1</v>
      </c>
      <c r="D155" s="11">
        <f t="shared" si="5"/>
        <v>1</v>
      </c>
      <c r="E155" s="11" t="s">
        <v>61</v>
      </c>
      <c r="F155" s="11" t="s">
        <v>6</v>
      </c>
      <c r="G155" s="11" t="s">
        <v>28</v>
      </c>
      <c r="H155" s="32">
        <v>92</v>
      </c>
      <c r="I155" s="38">
        <f t="shared" si="6"/>
        <v>13800000</v>
      </c>
      <c r="K155" s="11"/>
      <c r="L155" s="10"/>
      <c r="M155" s="11"/>
      <c r="N155" s="11"/>
      <c r="O155" s="11"/>
      <c r="P155" s="11"/>
      <c r="Q155" s="11"/>
      <c r="R155" s="32"/>
      <c r="S155" s="11"/>
      <c r="T155" s="10"/>
      <c r="U155" s="11"/>
      <c r="V155" s="11"/>
      <c r="W155" s="11"/>
      <c r="X155" s="11"/>
      <c r="Y155" s="11"/>
      <c r="Z155" s="32"/>
      <c r="AA155" s="38"/>
      <c r="AC155" s="11"/>
      <c r="AD155" s="32"/>
      <c r="AE155" s="3"/>
      <c r="AF155" s="3"/>
      <c r="AG155" s="3"/>
      <c r="AH155" s="3"/>
      <c r="AI155" s="3"/>
      <c r="AJ155" s="3"/>
    </row>
    <row r="156" spans="1:36">
      <c r="A156" s="11" t="s">
        <v>225</v>
      </c>
      <c r="B156" s="10">
        <v>45718</v>
      </c>
      <c r="C156" s="11">
        <f>MONTH(Table1[[#This Row],[Ngày]])</f>
        <v>3</v>
      </c>
      <c r="D156" s="11">
        <f t="shared" si="5"/>
        <v>1</v>
      </c>
      <c r="E156" s="11" t="s">
        <v>59</v>
      </c>
      <c r="F156" s="11" t="s">
        <v>11</v>
      </c>
      <c r="G156" s="11" t="s">
        <v>28</v>
      </c>
      <c r="H156" s="32">
        <v>46</v>
      </c>
      <c r="I156" s="38">
        <f t="shared" si="6"/>
        <v>23000000</v>
      </c>
      <c r="K156" s="11"/>
      <c r="L156" s="10"/>
      <c r="M156" s="11"/>
      <c r="N156" s="11"/>
      <c r="O156" s="11"/>
      <c r="P156" s="11"/>
      <c r="Q156" s="11"/>
      <c r="R156" s="32"/>
      <c r="S156" s="11"/>
      <c r="T156" s="10"/>
      <c r="U156" s="11"/>
      <c r="V156" s="11"/>
      <c r="W156" s="11"/>
      <c r="X156" s="11"/>
      <c r="Y156" s="11"/>
      <c r="Z156" s="32"/>
      <c r="AA156" s="38"/>
      <c r="AC156" s="11"/>
      <c r="AD156" s="32"/>
      <c r="AE156" s="3"/>
      <c r="AF156" s="3"/>
      <c r="AG156" s="3"/>
      <c r="AH156" s="3"/>
      <c r="AI156" s="3"/>
      <c r="AJ156" s="3"/>
    </row>
    <row r="157" spans="1:36">
      <c r="A157" s="11" t="s">
        <v>226</v>
      </c>
      <c r="B157" s="10">
        <v>45700</v>
      </c>
      <c r="C157" s="11">
        <f>MONTH(Table1[[#This Row],[Ngày]])</f>
        <v>2</v>
      </c>
      <c r="D157" s="11">
        <f t="shared" si="5"/>
        <v>1</v>
      </c>
      <c r="E157" s="11" t="s">
        <v>61</v>
      </c>
      <c r="F157" s="11" t="s">
        <v>9</v>
      </c>
      <c r="G157" s="11" t="s">
        <v>27</v>
      </c>
      <c r="H157" s="32">
        <v>11</v>
      </c>
      <c r="I157" s="38">
        <f t="shared" si="6"/>
        <v>3850000</v>
      </c>
      <c r="K157" s="11"/>
      <c r="L157" s="10"/>
      <c r="M157" s="11"/>
      <c r="N157" s="11"/>
      <c r="O157" s="11"/>
      <c r="P157" s="11"/>
      <c r="Q157" s="11"/>
      <c r="R157" s="32"/>
      <c r="S157" s="11"/>
      <c r="T157" s="10"/>
      <c r="U157" s="11"/>
      <c r="V157" s="11"/>
      <c r="W157" s="11"/>
      <c r="X157" s="11"/>
      <c r="Y157" s="11"/>
      <c r="Z157" s="32"/>
      <c r="AA157" s="38"/>
      <c r="AC157" s="11"/>
      <c r="AD157" s="32"/>
      <c r="AE157" s="3"/>
      <c r="AF157" s="3"/>
      <c r="AG157" s="3"/>
      <c r="AH157" s="3"/>
      <c r="AI157" s="3"/>
      <c r="AJ157" s="3"/>
    </row>
    <row r="158" spans="1:36">
      <c r="A158" s="11" t="s">
        <v>227</v>
      </c>
      <c r="B158" s="10">
        <v>45660</v>
      </c>
      <c r="C158" s="11">
        <f>MONTH(Table1[[#This Row],[Ngày]])</f>
        <v>1</v>
      </c>
      <c r="D158" s="11">
        <f t="shared" si="5"/>
        <v>1</v>
      </c>
      <c r="E158" s="11" t="s">
        <v>59</v>
      </c>
      <c r="F158" s="11" t="s">
        <v>9</v>
      </c>
      <c r="G158" s="11" t="s">
        <v>28</v>
      </c>
      <c r="H158" s="32">
        <v>16</v>
      </c>
      <c r="I158" s="38">
        <f t="shared" si="6"/>
        <v>5600000</v>
      </c>
      <c r="K158" s="11"/>
      <c r="L158" s="10"/>
      <c r="M158" s="11"/>
      <c r="N158" s="11"/>
      <c r="O158" s="11"/>
      <c r="P158" s="11"/>
      <c r="Q158" s="11"/>
      <c r="R158" s="32"/>
      <c r="S158" s="11"/>
      <c r="T158" s="10"/>
      <c r="U158" s="11"/>
      <c r="V158" s="11"/>
      <c r="W158" s="11"/>
      <c r="X158" s="11"/>
      <c r="Y158" s="11"/>
      <c r="Z158" s="32"/>
      <c r="AA158" s="38"/>
      <c r="AC158" s="11"/>
      <c r="AD158" s="32"/>
      <c r="AE158" s="3"/>
      <c r="AF158" s="3"/>
      <c r="AG158" s="3"/>
      <c r="AH158" s="3"/>
      <c r="AI158" s="3"/>
      <c r="AJ158" s="3"/>
    </row>
    <row r="159" spans="1:36">
      <c r="A159" s="11" t="s">
        <v>228</v>
      </c>
      <c r="B159" s="10">
        <v>45669</v>
      </c>
      <c r="C159" s="11">
        <f>MONTH(Table1[[#This Row],[Ngày]])</f>
        <v>1</v>
      </c>
      <c r="D159" s="11">
        <f t="shared" si="5"/>
        <v>1</v>
      </c>
      <c r="E159" s="11" t="s">
        <v>55</v>
      </c>
      <c r="F159" s="11" t="s">
        <v>11</v>
      </c>
      <c r="G159" s="11" t="s">
        <v>28</v>
      </c>
      <c r="H159" s="32">
        <v>70</v>
      </c>
      <c r="I159" s="38">
        <f t="shared" si="6"/>
        <v>35000000</v>
      </c>
      <c r="K159" s="11"/>
      <c r="L159" s="10"/>
      <c r="M159" s="11"/>
      <c r="N159" s="11"/>
      <c r="O159" s="11"/>
      <c r="P159" s="11"/>
      <c r="Q159" s="11"/>
      <c r="R159" s="32"/>
      <c r="S159" s="11"/>
      <c r="T159" s="10"/>
      <c r="U159" s="11"/>
      <c r="V159" s="11"/>
      <c r="W159" s="11"/>
      <c r="X159" s="11"/>
      <c r="Y159" s="11"/>
      <c r="Z159" s="32"/>
      <c r="AA159" s="38"/>
      <c r="AC159" s="11"/>
      <c r="AD159" s="32"/>
      <c r="AE159" s="3"/>
      <c r="AF159" s="3"/>
      <c r="AG159" s="3"/>
      <c r="AH159" s="3"/>
      <c r="AI159" s="3"/>
      <c r="AJ159" s="3"/>
    </row>
    <row r="160" spans="1:36">
      <c r="A160" s="11" t="s">
        <v>229</v>
      </c>
      <c r="B160" s="10">
        <v>45710</v>
      </c>
      <c r="C160" s="11">
        <f>MONTH(Table1[[#This Row],[Ngày]])</f>
        <v>2</v>
      </c>
      <c r="D160" s="11">
        <f t="shared" si="5"/>
        <v>1</v>
      </c>
      <c r="E160" s="11" t="s">
        <v>64</v>
      </c>
      <c r="F160" s="11" t="s">
        <v>11</v>
      </c>
      <c r="G160" s="11" t="s">
        <v>28</v>
      </c>
      <c r="H160" s="32">
        <v>66</v>
      </c>
      <c r="I160" s="38">
        <f t="shared" si="6"/>
        <v>33000000</v>
      </c>
      <c r="K160" s="11"/>
      <c r="L160" s="10"/>
      <c r="M160" s="11"/>
      <c r="N160" s="11"/>
      <c r="O160" s="11"/>
      <c r="P160" s="11"/>
      <c r="Q160" s="11"/>
      <c r="R160" s="32"/>
      <c r="S160" s="11"/>
      <c r="T160" s="10"/>
      <c r="U160" s="11"/>
      <c r="V160" s="11"/>
      <c r="W160" s="11"/>
      <c r="X160" s="11"/>
      <c r="Y160" s="11"/>
      <c r="Z160" s="32"/>
      <c r="AA160" s="38"/>
      <c r="AC160" s="11"/>
      <c r="AD160" s="32"/>
      <c r="AE160" s="3"/>
      <c r="AF160" s="3"/>
      <c r="AG160" s="3"/>
      <c r="AH160" s="3"/>
      <c r="AI160" s="3"/>
      <c r="AJ160" s="3"/>
    </row>
    <row r="161" spans="1:30">
      <c r="A161" s="11" t="s">
        <v>230</v>
      </c>
      <c r="B161" s="10">
        <v>45677</v>
      </c>
      <c r="C161" s="11">
        <f>MONTH(Table1[[#This Row],[Ngày]])</f>
        <v>1</v>
      </c>
      <c r="D161" s="11">
        <f t="shared" si="5"/>
        <v>1</v>
      </c>
      <c r="E161" s="11" t="s">
        <v>55</v>
      </c>
      <c r="F161" s="11" t="s">
        <v>6</v>
      </c>
      <c r="G161" s="11" t="s">
        <v>27</v>
      </c>
      <c r="H161" s="32">
        <v>38</v>
      </c>
      <c r="I161" s="38">
        <f t="shared" si="6"/>
        <v>5700000</v>
      </c>
      <c r="K161" s="11"/>
      <c r="L161" s="10"/>
      <c r="M161" s="11"/>
      <c r="N161" s="11"/>
      <c r="O161" s="11"/>
      <c r="P161" s="11"/>
      <c r="Q161" s="11"/>
      <c r="R161" s="32"/>
      <c r="S161" s="11"/>
      <c r="T161" s="10"/>
      <c r="U161" s="11"/>
      <c r="V161" s="11"/>
      <c r="W161" s="11"/>
      <c r="X161" s="11"/>
      <c r="Y161" s="11"/>
      <c r="Z161" s="32"/>
      <c r="AA161" s="38"/>
      <c r="AC161" s="11"/>
      <c r="AD161" s="32"/>
    </row>
    <row r="162" spans="1:30">
      <c r="A162" s="11" t="s">
        <v>231</v>
      </c>
      <c r="B162" s="10">
        <v>45710</v>
      </c>
      <c r="C162" s="11">
        <f>MONTH(Table1[[#This Row],[Ngày]])</f>
        <v>2</v>
      </c>
      <c r="D162" s="11">
        <f t="shared" si="5"/>
        <v>1</v>
      </c>
      <c r="E162" s="11" t="s">
        <v>55</v>
      </c>
      <c r="F162" s="11" t="s">
        <v>9</v>
      </c>
      <c r="G162" s="11" t="s">
        <v>27</v>
      </c>
      <c r="H162" s="32">
        <v>11</v>
      </c>
      <c r="I162" s="38">
        <f t="shared" si="6"/>
        <v>3850000</v>
      </c>
      <c r="K162" s="11"/>
      <c r="L162" s="10"/>
      <c r="M162" s="11"/>
      <c r="N162" s="11"/>
      <c r="O162" s="11"/>
      <c r="P162" s="11"/>
      <c r="Q162" s="11"/>
      <c r="R162" s="32"/>
      <c r="S162" s="11"/>
      <c r="T162" s="10"/>
      <c r="U162" s="11"/>
      <c r="V162" s="11"/>
      <c r="W162" s="11"/>
      <c r="X162" s="11"/>
      <c r="Y162" s="11"/>
      <c r="Z162" s="32"/>
      <c r="AA162" s="38"/>
      <c r="AC162" s="11"/>
      <c r="AD162" s="32"/>
    </row>
    <row r="163" spans="1:30">
      <c r="A163" s="11" t="s">
        <v>232</v>
      </c>
      <c r="B163" s="10">
        <v>45716</v>
      </c>
      <c r="C163" s="11">
        <f>MONTH(Table1[[#This Row],[Ngày]])</f>
        <v>2</v>
      </c>
      <c r="D163" s="11">
        <f t="shared" si="5"/>
        <v>1</v>
      </c>
      <c r="E163" s="11" t="s">
        <v>61</v>
      </c>
      <c r="F163" s="11" t="s">
        <v>11</v>
      </c>
      <c r="G163" s="11" t="s">
        <v>28</v>
      </c>
      <c r="H163" s="32">
        <v>45</v>
      </c>
      <c r="I163" s="38">
        <f t="shared" si="6"/>
        <v>22500000</v>
      </c>
      <c r="K163" s="11"/>
      <c r="L163" s="10"/>
      <c r="M163" s="11"/>
      <c r="N163" s="11"/>
      <c r="O163" s="11"/>
      <c r="P163" s="11"/>
      <c r="Q163" s="11"/>
      <c r="R163" s="32"/>
      <c r="S163" s="11"/>
      <c r="T163" s="10"/>
      <c r="U163" s="11"/>
      <c r="V163" s="11"/>
      <c r="W163" s="11"/>
      <c r="X163" s="11"/>
      <c r="Y163" s="11"/>
      <c r="Z163" s="32"/>
      <c r="AA163" s="38"/>
      <c r="AC163" s="11"/>
      <c r="AD163" s="32"/>
    </row>
    <row r="164" spans="1:30">
      <c r="A164" s="11" t="s">
        <v>233</v>
      </c>
      <c r="B164" s="10">
        <v>45704</v>
      </c>
      <c r="C164" s="11">
        <f>MONTH(Table1[[#This Row],[Ngày]])</f>
        <v>2</v>
      </c>
      <c r="D164" s="11">
        <f t="shared" si="5"/>
        <v>1</v>
      </c>
      <c r="E164" s="11" t="s">
        <v>59</v>
      </c>
      <c r="F164" s="11" t="s">
        <v>11</v>
      </c>
      <c r="G164" s="11" t="s">
        <v>27</v>
      </c>
      <c r="H164" s="32">
        <v>41</v>
      </c>
      <c r="I164" s="38">
        <f t="shared" si="6"/>
        <v>20500000</v>
      </c>
      <c r="K164" s="11"/>
      <c r="L164" s="10"/>
      <c r="M164" s="11"/>
      <c r="N164" s="11"/>
      <c r="O164" s="11"/>
      <c r="P164" s="11"/>
      <c r="Q164" s="11"/>
      <c r="R164" s="32"/>
      <c r="S164" s="11"/>
      <c r="T164" s="10"/>
      <c r="U164" s="11"/>
      <c r="V164" s="11"/>
      <c r="W164" s="11"/>
      <c r="X164" s="11"/>
      <c r="Y164" s="11"/>
      <c r="Z164" s="32"/>
      <c r="AA164" s="38"/>
      <c r="AC164" s="11"/>
      <c r="AD164" s="32"/>
    </row>
    <row r="165" spans="1:30">
      <c r="A165" s="11" t="s">
        <v>234</v>
      </c>
      <c r="B165" s="10">
        <v>45699</v>
      </c>
      <c r="C165" s="11">
        <f>MONTH(Table1[[#This Row],[Ngày]])</f>
        <v>2</v>
      </c>
      <c r="D165" s="11">
        <f t="shared" si="5"/>
        <v>1</v>
      </c>
      <c r="E165" s="11" t="s">
        <v>51</v>
      </c>
      <c r="F165" s="11" t="s">
        <v>11</v>
      </c>
      <c r="G165" s="11" t="s">
        <v>28</v>
      </c>
      <c r="H165" s="32">
        <v>81</v>
      </c>
      <c r="I165" s="38">
        <f t="shared" si="6"/>
        <v>40500000</v>
      </c>
      <c r="K165" s="11"/>
      <c r="L165" s="10"/>
      <c r="M165" s="11"/>
      <c r="N165" s="11"/>
      <c r="O165" s="11"/>
      <c r="P165" s="11"/>
      <c r="Q165" s="11"/>
      <c r="R165" s="32"/>
      <c r="S165" s="11"/>
      <c r="T165" s="10"/>
      <c r="U165" s="11"/>
      <c r="V165" s="11"/>
      <c r="W165" s="11"/>
      <c r="X165" s="11"/>
      <c r="Y165" s="11"/>
      <c r="Z165" s="32"/>
      <c r="AA165" s="38"/>
      <c r="AC165" s="11"/>
      <c r="AD165" s="32"/>
    </row>
    <row r="166" spans="1:30">
      <c r="A166" s="11" t="s">
        <v>235</v>
      </c>
      <c r="B166" s="10">
        <v>45711</v>
      </c>
      <c r="C166" s="11">
        <f>MONTH(Table1[[#This Row],[Ngày]])</f>
        <v>2</v>
      </c>
      <c r="D166" s="11">
        <f t="shared" si="5"/>
        <v>1</v>
      </c>
      <c r="E166" s="11" t="s">
        <v>64</v>
      </c>
      <c r="F166" s="11" t="s">
        <v>9</v>
      </c>
      <c r="G166" s="11" t="s">
        <v>27</v>
      </c>
      <c r="H166" s="32">
        <v>99</v>
      </c>
      <c r="I166" s="38">
        <f t="shared" si="6"/>
        <v>34650000</v>
      </c>
      <c r="K166" s="11"/>
      <c r="L166" s="10"/>
      <c r="M166" s="11"/>
      <c r="N166" s="11"/>
      <c r="O166" s="11"/>
      <c r="P166" s="11"/>
      <c r="Q166" s="11"/>
      <c r="R166" s="32"/>
      <c r="S166" s="11"/>
      <c r="T166" s="10"/>
      <c r="U166" s="11"/>
      <c r="V166" s="11"/>
      <c r="W166" s="11"/>
      <c r="X166" s="11"/>
      <c r="Y166" s="11"/>
      <c r="Z166" s="32"/>
      <c r="AA166" s="38"/>
      <c r="AC166" s="11"/>
      <c r="AD166" s="32"/>
    </row>
    <row r="167" spans="1:30">
      <c r="A167" s="11" t="s">
        <v>236</v>
      </c>
      <c r="B167" s="10">
        <v>45698</v>
      </c>
      <c r="C167" s="11">
        <f>MONTH(Table1[[#This Row],[Ngày]])</f>
        <v>2</v>
      </c>
      <c r="D167" s="11">
        <f t="shared" si="5"/>
        <v>1</v>
      </c>
      <c r="E167" s="11" t="s">
        <v>51</v>
      </c>
      <c r="F167" s="11" t="s">
        <v>11</v>
      </c>
      <c r="G167" s="11" t="s">
        <v>28</v>
      </c>
      <c r="H167" s="32">
        <v>99</v>
      </c>
      <c r="I167" s="38">
        <f t="shared" si="6"/>
        <v>49500000</v>
      </c>
      <c r="K167" s="11"/>
      <c r="L167" s="10"/>
      <c r="M167" s="11"/>
      <c r="N167" s="11"/>
      <c r="O167" s="11"/>
      <c r="P167" s="11"/>
      <c r="Q167" s="11"/>
      <c r="R167" s="32"/>
      <c r="S167" s="11"/>
      <c r="T167" s="10"/>
      <c r="U167" s="11"/>
      <c r="V167" s="11"/>
      <c r="W167" s="11"/>
      <c r="X167" s="11"/>
      <c r="Y167" s="11"/>
      <c r="Z167" s="32"/>
      <c r="AA167" s="38"/>
      <c r="AC167" s="11"/>
      <c r="AD167" s="32"/>
    </row>
    <row r="168" spans="1:30">
      <c r="A168" s="11" t="s">
        <v>237</v>
      </c>
      <c r="B168" s="10">
        <v>45666</v>
      </c>
      <c r="C168" s="11">
        <f>MONTH(Table1[[#This Row],[Ngày]])</f>
        <v>1</v>
      </c>
      <c r="D168" s="11">
        <f t="shared" si="5"/>
        <v>1</v>
      </c>
      <c r="E168" s="11" t="s">
        <v>59</v>
      </c>
      <c r="F168" s="11" t="s">
        <v>9</v>
      </c>
      <c r="G168" s="11" t="s">
        <v>27</v>
      </c>
      <c r="H168" s="32">
        <v>37</v>
      </c>
      <c r="I168" s="38">
        <f t="shared" si="6"/>
        <v>12950000</v>
      </c>
      <c r="K168" s="11"/>
      <c r="L168" s="10"/>
      <c r="M168" s="11"/>
      <c r="N168" s="11"/>
      <c r="O168" s="11"/>
      <c r="P168" s="11"/>
      <c r="Q168" s="11"/>
      <c r="R168" s="32"/>
      <c r="S168" s="11"/>
      <c r="T168" s="10"/>
      <c r="U168" s="11"/>
      <c r="V168" s="11"/>
      <c r="W168" s="11"/>
      <c r="X168" s="11"/>
      <c r="Y168" s="11"/>
      <c r="Z168" s="32"/>
      <c r="AA168" s="38"/>
      <c r="AC168" s="11"/>
      <c r="AD168" s="32"/>
    </row>
    <row r="169" spans="1:30">
      <c r="A169" s="11" t="s">
        <v>238</v>
      </c>
      <c r="B169" s="10">
        <v>45696</v>
      </c>
      <c r="C169" s="11">
        <f>MONTH(Table1[[#This Row],[Ngày]])</f>
        <v>2</v>
      </c>
      <c r="D169" s="11">
        <f t="shared" si="5"/>
        <v>1</v>
      </c>
      <c r="E169" s="11" t="s">
        <v>64</v>
      </c>
      <c r="F169" s="11" t="s">
        <v>11</v>
      </c>
      <c r="G169" s="11" t="s">
        <v>28</v>
      </c>
      <c r="H169" s="32">
        <v>53</v>
      </c>
      <c r="I169" s="38">
        <f t="shared" si="6"/>
        <v>26500000</v>
      </c>
      <c r="K169" s="11"/>
      <c r="L169" s="10"/>
      <c r="M169" s="11"/>
      <c r="N169" s="11"/>
      <c r="O169" s="11"/>
      <c r="P169" s="11"/>
      <c r="Q169" s="11"/>
      <c r="R169" s="32"/>
      <c r="S169" s="11"/>
      <c r="T169" s="10"/>
      <c r="U169" s="11"/>
      <c r="V169" s="11"/>
      <c r="W169" s="11"/>
      <c r="X169" s="11"/>
      <c r="Y169" s="11"/>
      <c r="Z169" s="32"/>
      <c r="AA169" s="38"/>
      <c r="AC169" s="11"/>
      <c r="AD169" s="32"/>
    </row>
    <row r="170" spans="1:30">
      <c r="A170" s="11" t="s">
        <v>239</v>
      </c>
      <c r="B170" s="10">
        <v>45717</v>
      </c>
      <c r="C170" s="11">
        <f>MONTH(Table1[[#This Row],[Ngày]])</f>
        <v>3</v>
      </c>
      <c r="D170" s="11">
        <f t="shared" si="5"/>
        <v>1</v>
      </c>
      <c r="E170" s="11" t="s">
        <v>55</v>
      </c>
      <c r="F170" s="11" t="s">
        <v>11</v>
      </c>
      <c r="G170" s="11" t="s">
        <v>27</v>
      </c>
      <c r="H170" s="32">
        <v>41</v>
      </c>
      <c r="I170" s="38">
        <f t="shared" si="6"/>
        <v>20500000</v>
      </c>
      <c r="K170" s="11"/>
      <c r="L170" s="10"/>
      <c r="M170" s="11"/>
      <c r="N170" s="11"/>
      <c r="O170" s="11"/>
      <c r="P170" s="11"/>
      <c r="Q170" s="11"/>
      <c r="R170" s="32"/>
      <c r="S170" s="11"/>
      <c r="T170" s="10"/>
      <c r="U170" s="11"/>
      <c r="V170" s="11"/>
      <c r="W170" s="11"/>
      <c r="X170" s="11"/>
      <c r="Y170" s="11"/>
      <c r="Z170" s="32"/>
      <c r="AA170" s="38"/>
      <c r="AC170" s="11"/>
      <c r="AD170" s="32"/>
    </row>
    <row r="171" spans="1:30">
      <c r="A171" s="11" t="s">
        <v>240</v>
      </c>
      <c r="B171" s="10">
        <v>45695</v>
      </c>
      <c r="C171" s="11">
        <f>MONTH(Table1[[#This Row],[Ngày]])</f>
        <v>2</v>
      </c>
      <c r="D171" s="11">
        <f t="shared" si="5"/>
        <v>1</v>
      </c>
      <c r="E171" s="11" t="s">
        <v>51</v>
      </c>
      <c r="F171" s="11" t="s">
        <v>11</v>
      </c>
      <c r="G171" s="11" t="s">
        <v>27</v>
      </c>
      <c r="H171" s="32">
        <v>42</v>
      </c>
      <c r="I171" s="38">
        <f t="shared" si="6"/>
        <v>21000000</v>
      </c>
      <c r="K171" s="11"/>
      <c r="L171" s="10"/>
      <c r="M171" s="11"/>
      <c r="N171" s="11"/>
      <c r="O171" s="11"/>
      <c r="P171" s="11"/>
      <c r="Q171" s="11"/>
      <c r="R171" s="32"/>
      <c r="S171" s="11"/>
      <c r="T171" s="10"/>
      <c r="U171" s="11"/>
      <c r="V171" s="11"/>
      <c r="W171" s="11"/>
      <c r="X171" s="11"/>
      <c r="Y171" s="11"/>
      <c r="Z171" s="32"/>
      <c r="AA171" s="38"/>
      <c r="AC171" s="11"/>
      <c r="AD171" s="32"/>
    </row>
    <row r="172" spans="1:30">
      <c r="A172" s="11" t="s">
        <v>241</v>
      </c>
      <c r="B172" s="10">
        <v>45659</v>
      </c>
      <c r="C172" s="11">
        <f>MONTH(Table1[[#This Row],[Ngày]])</f>
        <v>1</v>
      </c>
      <c r="D172" s="11">
        <f t="shared" si="5"/>
        <v>1</v>
      </c>
      <c r="E172" s="11" t="s">
        <v>51</v>
      </c>
      <c r="F172" s="11" t="s">
        <v>9</v>
      </c>
      <c r="G172" s="11" t="s">
        <v>27</v>
      </c>
      <c r="H172" s="32">
        <v>95</v>
      </c>
      <c r="I172" s="38">
        <f t="shared" si="6"/>
        <v>33250000</v>
      </c>
      <c r="K172" s="11"/>
      <c r="L172" s="10"/>
      <c r="M172" s="11"/>
      <c r="N172" s="11"/>
      <c r="O172" s="11"/>
      <c r="P172" s="11"/>
      <c r="Q172" s="11"/>
      <c r="R172" s="32"/>
      <c r="S172" s="11"/>
      <c r="T172" s="10"/>
      <c r="U172" s="11"/>
      <c r="V172" s="11"/>
      <c r="W172" s="11"/>
      <c r="X172" s="11"/>
      <c r="Y172" s="11"/>
      <c r="Z172" s="32"/>
      <c r="AA172" s="38"/>
      <c r="AC172" s="11"/>
      <c r="AD172" s="32"/>
    </row>
    <row r="173" spans="1:30">
      <c r="A173" s="11" t="s">
        <v>242</v>
      </c>
      <c r="B173" s="10">
        <v>45686</v>
      </c>
      <c r="C173" s="11">
        <f>MONTH(Table1[[#This Row],[Ngày]])</f>
        <v>1</v>
      </c>
      <c r="D173" s="11">
        <f t="shared" si="5"/>
        <v>1</v>
      </c>
      <c r="E173" s="11" t="s">
        <v>59</v>
      </c>
      <c r="F173" s="11" t="s">
        <v>6</v>
      </c>
      <c r="G173" s="11" t="s">
        <v>27</v>
      </c>
      <c r="H173" s="32">
        <v>24</v>
      </c>
      <c r="I173" s="38">
        <f t="shared" si="6"/>
        <v>3600000</v>
      </c>
      <c r="K173" s="11"/>
      <c r="L173" s="10"/>
      <c r="M173" s="11"/>
      <c r="N173" s="11"/>
      <c r="O173" s="11"/>
      <c r="P173" s="11"/>
      <c r="Q173" s="11"/>
      <c r="R173" s="32"/>
      <c r="S173" s="11"/>
      <c r="T173" s="10"/>
      <c r="U173" s="11"/>
      <c r="V173" s="11"/>
      <c r="W173" s="11"/>
      <c r="X173" s="11"/>
      <c r="Y173" s="11"/>
      <c r="Z173" s="32"/>
      <c r="AA173" s="38"/>
      <c r="AC173" s="11"/>
      <c r="AD173" s="32"/>
    </row>
    <row r="174" spans="1:30">
      <c r="A174" s="11" t="s">
        <v>243</v>
      </c>
      <c r="B174" s="10">
        <v>45699</v>
      </c>
      <c r="C174" s="11">
        <f>MONTH(Table1[[#This Row],[Ngày]])</f>
        <v>2</v>
      </c>
      <c r="D174" s="11">
        <f t="shared" si="5"/>
        <v>1</v>
      </c>
      <c r="E174" s="11" t="s">
        <v>51</v>
      </c>
      <c r="F174" s="11" t="s">
        <v>9</v>
      </c>
      <c r="G174" s="11" t="s">
        <v>28</v>
      </c>
      <c r="H174" s="32">
        <v>64</v>
      </c>
      <c r="I174" s="38">
        <f t="shared" si="6"/>
        <v>22400000</v>
      </c>
      <c r="K174" s="11"/>
      <c r="L174" s="10"/>
      <c r="M174" s="11"/>
      <c r="N174" s="11"/>
      <c r="O174" s="11"/>
      <c r="P174" s="11"/>
      <c r="Q174" s="11"/>
      <c r="R174" s="32"/>
      <c r="S174" s="11"/>
      <c r="T174" s="10"/>
      <c r="U174" s="11"/>
      <c r="V174" s="11"/>
      <c r="W174" s="11"/>
      <c r="X174" s="11"/>
      <c r="Y174" s="11"/>
      <c r="Z174" s="32"/>
      <c r="AA174" s="38"/>
      <c r="AC174" s="11"/>
      <c r="AD174" s="32"/>
    </row>
    <row r="175" spans="1:30">
      <c r="A175" s="11" t="s">
        <v>244</v>
      </c>
      <c r="B175" s="10">
        <v>45671</v>
      </c>
      <c r="C175" s="11">
        <f>MONTH(Table1[[#This Row],[Ngày]])</f>
        <v>1</v>
      </c>
      <c r="D175" s="11">
        <f t="shared" si="5"/>
        <v>1</v>
      </c>
      <c r="E175" s="11" t="s">
        <v>61</v>
      </c>
      <c r="F175" s="11" t="s">
        <v>6</v>
      </c>
      <c r="G175" s="11" t="s">
        <v>28</v>
      </c>
      <c r="H175" s="32">
        <v>33</v>
      </c>
      <c r="I175" s="38">
        <f t="shared" si="6"/>
        <v>4950000</v>
      </c>
      <c r="K175" s="11"/>
      <c r="L175" s="10"/>
      <c r="M175" s="11"/>
      <c r="N175" s="11"/>
      <c r="O175" s="11"/>
      <c r="P175" s="11"/>
      <c r="Q175" s="11"/>
      <c r="R175" s="32"/>
      <c r="S175" s="11"/>
      <c r="T175" s="10"/>
      <c r="U175" s="11"/>
      <c r="V175" s="11"/>
      <c r="W175" s="11"/>
      <c r="X175" s="11"/>
      <c r="Y175" s="11"/>
      <c r="Z175" s="32"/>
      <c r="AA175" s="38"/>
      <c r="AC175" s="11"/>
      <c r="AD175" s="32"/>
    </row>
    <row r="176" spans="1:30">
      <c r="A176" s="11" t="s">
        <v>245</v>
      </c>
      <c r="B176" s="10">
        <v>45679</v>
      </c>
      <c r="C176" s="11">
        <f>MONTH(Table1[[#This Row],[Ngày]])</f>
        <v>1</v>
      </c>
      <c r="D176" s="11">
        <f t="shared" si="5"/>
        <v>1</v>
      </c>
      <c r="E176" s="11" t="s">
        <v>55</v>
      </c>
      <c r="F176" s="11" t="s">
        <v>6</v>
      </c>
      <c r="G176" s="11" t="s">
        <v>27</v>
      </c>
      <c r="H176" s="32">
        <v>97</v>
      </c>
      <c r="I176" s="38">
        <f t="shared" si="6"/>
        <v>14550000</v>
      </c>
      <c r="K176" s="11"/>
      <c r="L176" s="10"/>
      <c r="M176" s="11"/>
      <c r="N176" s="11"/>
      <c r="O176" s="11"/>
      <c r="P176" s="11"/>
      <c r="Q176" s="11"/>
      <c r="R176" s="32"/>
      <c r="S176" s="11"/>
      <c r="T176" s="10"/>
      <c r="U176" s="11"/>
      <c r="V176" s="11"/>
      <c r="W176" s="11"/>
      <c r="X176" s="11"/>
      <c r="Y176" s="11"/>
      <c r="Z176" s="32"/>
      <c r="AA176" s="38"/>
      <c r="AC176" s="11"/>
      <c r="AD176" s="32"/>
    </row>
    <row r="177" spans="1:30">
      <c r="A177" s="11" t="s">
        <v>246</v>
      </c>
      <c r="B177" s="10">
        <v>45684</v>
      </c>
      <c r="C177" s="11">
        <f>MONTH(Table1[[#This Row],[Ngày]])</f>
        <v>1</v>
      </c>
      <c r="D177" s="11">
        <f t="shared" si="5"/>
        <v>1</v>
      </c>
      <c r="E177" s="11" t="s">
        <v>59</v>
      </c>
      <c r="F177" s="11" t="s">
        <v>11</v>
      </c>
      <c r="G177" s="11" t="s">
        <v>27</v>
      </c>
      <c r="H177" s="32">
        <v>33</v>
      </c>
      <c r="I177" s="38">
        <f t="shared" si="6"/>
        <v>16500000</v>
      </c>
      <c r="K177" s="11"/>
      <c r="L177" s="10"/>
      <c r="M177" s="11"/>
      <c r="N177" s="11"/>
      <c r="O177" s="11"/>
      <c r="P177" s="11"/>
      <c r="Q177" s="11"/>
      <c r="R177" s="32"/>
      <c r="S177" s="11"/>
      <c r="T177" s="10"/>
      <c r="U177" s="11"/>
      <c r="V177" s="11"/>
      <c r="W177" s="11"/>
      <c r="X177" s="11"/>
      <c r="Y177" s="11"/>
      <c r="Z177" s="32"/>
      <c r="AA177" s="38"/>
      <c r="AC177" s="11"/>
      <c r="AD177" s="32"/>
    </row>
    <row r="178" spans="1:30">
      <c r="A178" s="11" t="s">
        <v>247</v>
      </c>
      <c r="B178" s="10">
        <v>45688</v>
      </c>
      <c r="C178" s="11">
        <f>MONTH(Table1[[#This Row],[Ngày]])</f>
        <v>1</v>
      </c>
      <c r="D178" s="11">
        <f t="shared" si="5"/>
        <v>1</v>
      </c>
      <c r="E178" s="11" t="s">
        <v>61</v>
      </c>
      <c r="F178" s="11" t="s">
        <v>6</v>
      </c>
      <c r="G178" s="11" t="s">
        <v>27</v>
      </c>
      <c r="H178" s="32">
        <v>12</v>
      </c>
      <c r="I178" s="38">
        <f t="shared" si="6"/>
        <v>1800000</v>
      </c>
      <c r="K178" s="11"/>
      <c r="L178" s="10"/>
      <c r="M178" s="11"/>
      <c r="N178" s="11"/>
      <c r="O178" s="11"/>
      <c r="P178" s="11"/>
      <c r="Q178" s="11"/>
      <c r="R178" s="32"/>
      <c r="S178" s="11"/>
      <c r="T178" s="10"/>
      <c r="U178" s="11"/>
      <c r="V178" s="11"/>
      <c r="W178" s="11"/>
      <c r="X178" s="11"/>
      <c r="Y178" s="11"/>
      <c r="Z178" s="32"/>
      <c r="AA178" s="38"/>
      <c r="AC178" s="11"/>
      <c r="AD178" s="32"/>
    </row>
    <row r="179" spans="1:30">
      <c r="A179" s="11" t="s">
        <v>248</v>
      </c>
      <c r="B179" s="10">
        <v>45716</v>
      </c>
      <c r="C179" s="11">
        <f>MONTH(Table1[[#This Row],[Ngày]])</f>
        <v>2</v>
      </c>
      <c r="D179" s="11">
        <f t="shared" si="5"/>
        <v>1</v>
      </c>
      <c r="E179" s="11" t="s">
        <v>61</v>
      </c>
      <c r="F179" s="11" t="s">
        <v>9</v>
      </c>
      <c r="G179" s="11" t="s">
        <v>28</v>
      </c>
      <c r="H179" s="32">
        <v>21</v>
      </c>
      <c r="I179" s="38">
        <f t="shared" si="6"/>
        <v>7350000</v>
      </c>
      <c r="K179" s="11"/>
      <c r="L179" s="10"/>
      <c r="M179" s="11"/>
      <c r="N179" s="11"/>
      <c r="O179" s="11"/>
      <c r="P179" s="11"/>
      <c r="Q179" s="11"/>
      <c r="R179" s="32"/>
      <c r="S179" s="11"/>
      <c r="T179" s="10"/>
      <c r="U179" s="11"/>
      <c r="V179" s="11"/>
      <c r="W179" s="11"/>
      <c r="X179" s="11"/>
      <c r="Y179" s="11"/>
      <c r="Z179" s="32"/>
      <c r="AA179" s="38"/>
      <c r="AC179" s="11"/>
      <c r="AD179" s="32"/>
    </row>
    <row r="180" spans="1:30">
      <c r="A180" s="11" t="s">
        <v>249</v>
      </c>
      <c r="B180" s="10">
        <v>45702</v>
      </c>
      <c r="C180" s="11">
        <f>MONTH(Table1[[#This Row],[Ngày]])</f>
        <v>2</v>
      </c>
      <c r="D180" s="11">
        <f t="shared" si="5"/>
        <v>1</v>
      </c>
      <c r="E180" s="11" t="s">
        <v>55</v>
      </c>
      <c r="F180" s="11" t="s">
        <v>6</v>
      </c>
      <c r="G180" s="11" t="s">
        <v>28</v>
      </c>
      <c r="H180" s="32">
        <v>31</v>
      </c>
      <c r="I180" s="38">
        <f t="shared" si="6"/>
        <v>4650000</v>
      </c>
      <c r="K180" s="11"/>
      <c r="L180" s="10"/>
      <c r="M180" s="11"/>
      <c r="N180" s="11"/>
      <c r="O180" s="11"/>
      <c r="P180" s="11"/>
      <c r="Q180" s="11"/>
      <c r="R180" s="32"/>
      <c r="S180" s="11"/>
      <c r="T180" s="10"/>
      <c r="U180" s="11"/>
      <c r="V180" s="11"/>
      <c r="W180" s="11"/>
      <c r="X180" s="11"/>
      <c r="Y180" s="11"/>
      <c r="Z180" s="32"/>
      <c r="AA180" s="38"/>
      <c r="AC180" s="11"/>
      <c r="AD180" s="32"/>
    </row>
    <row r="181" spans="1:30">
      <c r="A181" s="11" t="s">
        <v>250</v>
      </c>
      <c r="B181" s="10">
        <v>45682</v>
      </c>
      <c r="C181" s="11">
        <f>MONTH(Table1[[#This Row],[Ngày]])</f>
        <v>1</v>
      </c>
      <c r="D181" s="11">
        <f t="shared" si="5"/>
        <v>1</v>
      </c>
      <c r="E181" s="11" t="s">
        <v>61</v>
      </c>
      <c r="F181" s="11" t="s">
        <v>11</v>
      </c>
      <c r="G181" s="11" t="s">
        <v>27</v>
      </c>
      <c r="H181" s="32">
        <v>18</v>
      </c>
      <c r="I181" s="38">
        <f t="shared" si="6"/>
        <v>9000000</v>
      </c>
      <c r="K181" s="11"/>
      <c r="L181" s="10"/>
      <c r="M181" s="11"/>
      <c r="N181" s="11"/>
      <c r="O181" s="11"/>
      <c r="P181" s="11"/>
      <c r="Q181" s="11"/>
      <c r="R181" s="32"/>
      <c r="S181" s="11"/>
      <c r="T181" s="10"/>
      <c r="U181" s="11"/>
      <c r="V181" s="11"/>
      <c r="W181" s="11"/>
      <c r="X181" s="11"/>
      <c r="Y181" s="11"/>
      <c r="Z181" s="32"/>
      <c r="AA181" s="38"/>
      <c r="AC181" s="11"/>
      <c r="AD181" s="32"/>
    </row>
    <row r="182" spans="1:30">
      <c r="A182" s="11" t="s">
        <v>251</v>
      </c>
      <c r="B182" s="10">
        <v>45677</v>
      </c>
      <c r="C182" s="11">
        <f>MONTH(Table1[[#This Row],[Ngày]])</f>
        <v>1</v>
      </c>
      <c r="D182" s="11">
        <f t="shared" si="5"/>
        <v>1</v>
      </c>
      <c r="E182" s="11" t="s">
        <v>61</v>
      </c>
      <c r="F182" s="11" t="s">
        <v>11</v>
      </c>
      <c r="G182" s="11" t="s">
        <v>28</v>
      </c>
      <c r="H182" s="32">
        <v>74</v>
      </c>
      <c r="I182" s="38">
        <f t="shared" si="6"/>
        <v>37000000</v>
      </c>
      <c r="K182" s="11"/>
      <c r="L182" s="10"/>
      <c r="M182" s="11"/>
      <c r="N182" s="11"/>
      <c r="O182" s="11"/>
      <c r="P182" s="11"/>
      <c r="Q182" s="11"/>
      <c r="R182" s="32"/>
      <c r="S182" s="11"/>
      <c r="T182" s="10"/>
      <c r="U182" s="11"/>
      <c r="V182" s="11"/>
      <c r="W182" s="11"/>
      <c r="X182" s="11"/>
      <c r="Y182" s="11"/>
      <c r="Z182" s="32"/>
      <c r="AA182" s="38"/>
      <c r="AC182" s="11"/>
      <c r="AD182" s="32"/>
    </row>
    <row r="183" spans="1:30">
      <c r="A183" s="11" t="s">
        <v>252</v>
      </c>
      <c r="B183" s="10">
        <v>45710</v>
      </c>
      <c r="C183" s="11">
        <f>MONTH(Table1[[#This Row],[Ngày]])</f>
        <v>2</v>
      </c>
      <c r="D183" s="11">
        <f t="shared" si="5"/>
        <v>1</v>
      </c>
      <c r="E183" s="11" t="s">
        <v>55</v>
      </c>
      <c r="F183" s="11" t="s">
        <v>11</v>
      </c>
      <c r="G183" s="11" t="s">
        <v>27</v>
      </c>
      <c r="H183" s="32">
        <v>98</v>
      </c>
      <c r="I183" s="38">
        <f t="shared" si="6"/>
        <v>49000000</v>
      </c>
      <c r="K183" s="11"/>
      <c r="L183" s="10"/>
      <c r="M183" s="11"/>
      <c r="N183" s="11"/>
      <c r="O183" s="11"/>
      <c r="P183" s="11"/>
      <c r="Q183" s="11"/>
      <c r="R183" s="32"/>
      <c r="S183" s="11"/>
      <c r="T183" s="10"/>
      <c r="U183" s="11"/>
      <c r="V183" s="11"/>
      <c r="W183" s="11"/>
      <c r="X183" s="11"/>
      <c r="Y183" s="11"/>
      <c r="Z183" s="32"/>
      <c r="AA183" s="38"/>
      <c r="AC183" s="11"/>
      <c r="AD183" s="32"/>
    </row>
    <row r="184" spans="1:30">
      <c r="A184" s="11" t="s">
        <v>253</v>
      </c>
      <c r="B184" s="10">
        <v>45715</v>
      </c>
      <c r="C184" s="11">
        <f>MONTH(Table1[[#This Row],[Ngày]])</f>
        <v>2</v>
      </c>
      <c r="D184" s="11">
        <f t="shared" si="5"/>
        <v>1</v>
      </c>
      <c r="E184" s="11" t="s">
        <v>51</v>
      </c>
      <c r="F184" s="11" t="s">
        <v>6</v>
      </c>
      <c r="G184" s="11" t="s">
        <v>27</v>
      </c>
      <c r="H184" s="32">
        <v>51</v>
      </c>
      <c r="I184" s="38">
        <f t="shared" si="6"/>
        <v>7650000</v>
      </c>
      <c r="K184" s="11"/>
      <c r="L184" s="10"/>
      <c r="M184" s="11"/>
      <c r="N184" s="11"/>
      <c r="O184" s="11"/>
      <c r="P184" s="11"/>
      <c r="Q184" s="11"/>
      <c r="R184" s="32"/>
      <c r="S184" s="11"/>
      <c r="T184" s="10"/>
      <c r="U184" s="11"/>
      <c r="V184" s="11"/>
      <c r="W184" s="11"/>
      <c r="X184" s="11"/>
      <c r="Y184" s="11"/>
      <c r="Z184" s="32"/>
      <c r="AA184" s="38"/>
      <c r="AC184" s="11"/>
      <c r="AD184" s="32"/>
    </row>
    <row r="185" spans="1:30">
      <c r="A185" s="11" t="s">
        <v>254</v>
      </c>
      <c r="B185" s="10">
        <v>45711</v>
      </c>
      <c r="C185" s="11">
        <f>MONTH(Table1[[#This Row],[Ngày]])</f>
        <v>2</v>
      </c>
      <c r="D185" s="11">
        <f t="shared" si="5"/>
        <v>1</v>
      </c>
      <c r="E185" s="11" t="s">
        <v>55</v>
      </c>
      <c r="F185" s="11" t="s">
        <v>6</v>
      </c>
      <c r="G185" s="11" t="s">
        <v>28</v>
      </c>
      <c r="H185" s="32">
        <v>64</v>
      </c>
      <c r="I185" s="38">
        <f t="shared" si="6"/>
        <v>9600000</v>
      </c>
      <c r="K185" s="11"/>
      <c r="L185" s="10"/>
      <c r="M185" s="11"/>
      <c r="N185" s="11"/>
      <c r="O185" s="11"/>
      <c r="P185" s="11"/>
      <c r="Q185" s="11"/>
      <c r="R185" s="32"/>
      <c r="S185" s="11"/>
      <c r="T185" s="10"/>
      <c r="U185" s="11"/>
      <c r="V185" s="11"/>
      <c r="W185" s="11"/>
      <c r="X185" s="11"/>
      <c r="Y185" s="11"/>
      <c r="Z185" s="32"/>
      <c r="AA185" s="38"/>
      <c r="AC185" s="11"/>
      <c r="AD185" s="32"/>
    </row>
    <row r="186" spans="1:30">
      <c r="A186" s="11" t="s">
        <v>255</v>
      </c>
      <c r="B186" s="10">
        <v>45692</v>
      </c>
      <c r="C186" s="11">
        <f>MONTH(Table1[[#This Row],[Ngày]])</f>
        <v>2</v>
      </c>
      <c r="D186" s="11">
        <f t="shared" si="5"/>
        <v>1</v>
      </c>
      <c r="E186" s="11" t="s">
        <v>64</v>
      </c>
      <c r="F186" s="11" t="s">
        <v>9</v>
      </c>
      <c r="G186" s="11" t="s">
        <v>28</v>
      </c>
      <c r="H186" s="32">
        <v>39</v>
      </c>
      <c r="I186" s="38">
        <f t="shared" si="6"/>
        <v>13650000</v>
      </c>
      <c r="K186" s="11"/>
      <c r="L186" s="10"/>
      <c r="M186" s="11"/>
      <c r="N186" s="11"/>
      <c r="O186" s="11"/>
      <c r="P186" s="11"/>
      <c r="Q186" s="11"/>
      <c r="R186" s="32"/>
      <c r="S186" s="11"/>
      <c r="T186" s="10"/>
      <c r="U186" s="11"/>
      <c r="V186" s="11"/>
      <c r="W186" s="11"/>
      <c r="X186" s="11"/>
      <c r="Y186" s="11"/>
      <c r="Z186" s="32"/>
      <c r="AA186" s="38"/>
      <c r="AC186" s="11"/>
      <c r="AD186" s="32"/>
    </row>
    <row r="187" spans="1:30">
      <c r="A187" s="11" t="s">
        <v>256</v>
      </c>
      <c r="B187" s="10">
        <v>45711</v>
      </c>
      <c r="C187" s="11">
        <f>MONTH(Table1[[#This Row],[Ngày]])</f>
        <v>2</v>
      </c>
      <c r="D187" s="11">
        <f t="shared" si="5"/>
        <v>1</v>
      </c>
      <c r="E187" s="11" t="s">
        <v>64</v>
      </c>
      <c r="F187" s="11" t="s">
        <v>9</v>
      </c>
      <c r="G187" s="11" t="s">
        <v>28</v>
      </c>
      <c r="H187" s="32">
        <v>82</v>
      </c>
      <c r="I187" s="38">
        <f t="shared" si="6"/>
        <v>28700000</v>
      </c>
      <c r="K187" s="11"/>
      <c r="L187" s="10"/>
      <c r="M187" s="11"/>
      <c r="N187" s="11"/>
      <c r="O187" s="11"/>
      <c r="P187" s="11"/>
      <c r="Q187" s="11"/>
      <c r="R187" s="32"/>
      <c r="S187" s="11"/>
      <c r="T187" s="10"/>
      <c r="U187" s="11"/>
      <c r="V187" s="11"/>
      <c r="W187" s="11"/>
      <c r="X187" s="11"/>
      <c r="Y187" s="11"/>
      <c r="Z187" s="32"/>
      <c r="AA187" s="38"/>
      <c r="AC187" s="11"/>
      <c r="AD187" s="32"/>
    </row>
    <row r="188" spans="1:30">
      <c r="A188" s="11" t="s">
        <v>257</v>
      </c>
      <c r="B188" s="10">
        <v>45666</v>
      </c>
      <c r="C188" s="11">
        <f>MONTH(Table1[[#This Row],[Ngày]])</f>
        <v>1</v>
      </c>
      <c r="D188" s="11">
        <f t="shared" si="5"/>
        <v>1</v>
      </c>
      <c r="E188" s="11" t="s">
        <v>59</v>
      </c>
      <c r="F188" s="11" t="s">
        <v>6</v>
      </c>
      <c r="G188" s="11" t="s">
        <v>27</v>
      </c>
      <c r="H188" s="32">
        <v>26</v>
      </c>
      <c r="I188" s="38">
        <f t="shared" si="6"/>
        <v>3900000</v>
      </c>
      <c r="K188" s="11"/>
      <c r="L188" s="10"/>
      <c r="M188" s="11"/>
      <c r="N188" s="11"/>
      <c r="O188" s="11"/>
      <c r="P188" s="11"/>
      <c r="Q188" s="11"/>
      <c r="R188" s="32"/>
      <c r="S188" s="11"/>
      <c r="T188" s="10"/>
      <c r="U188" s="11"/>
      <c r="V188" s="11"/>
      <c r="W188" s="11"/>
      <c r="X188" s="11"/>
      <c r="Y188" s="11"/>
      <c r="Z188" s="32"/>
      <c r="AA188" s="38"/>
      <c r="AC188" s="11"/>
      <c r="AD188" s="32"/>
    </row>
    <row r="189" spans="1:30">
      <c r="A189" s="11" t="s">
        <v>258</v>
      </c>
      <c r="B189" s="10">
        <v>45682</v>
      </c>
      <c r="C189" s="11">
        <f>MONTH(Table1[[#This Row],[Ngày]])</f>
        <v>1</v>
      </c>
      <c r="D189" s="11">
        <f t="shared" si="5"/>
        <v>1</v>
      </c>
      <c r="E189" s="11" t="s">
        <v>51</v>
      </c>
      <c r="F189" s="11" t="s">
        <v>11</v>
      </c>
      <c r="G189" s="11" t="s">
        <v>27</v>
      </c>
      <c r="H189" s="32">
        <v>15</v>
      </c>
      <c r="I189" s="38">
        <f t="shared" si="6"/>
        <v>7500000</v>
      </c>
      <c r="K189" s="11"/>
      <c r="L189" s="10"/>
      <c r="M189" s="11"/>
      <c r="N189" s="11"/>
      <c r="O189" s="11"/>
      <c r="P189" s="11"/>
      <c r="Q189" s="11"/>
      <c r="R189" s="32"/>
      <c r="S189" s="11"/>
      <c r="T189" s="10"/>
      <c r="U189" s="11"/>
      <c r="V189" s="11"/>
      <c r="W189" s="11"/>
      <c r="X189" s="11"/>
      <c r="Y189" s="11"/>
      <c r="Z189" s="32"/>
      <c r="AA189" s="38"/>
      <c r="AC189" s="11"/>
      <c r="AD189" s="32"/>
    </row>
    <row r="190" spans="1:30">
      <c r="A190" s="11" t="s">
        <v>259</v>
      </c>
      <c r="B190" s="10">
        <v>45663</v>
      </c>
      <c r="C190" s="11">
        <f>MONTH(Table1[[#This Row],[Ngày]])</f>
        <v>1</v>
      </c>
      <c r="D190" s="11">
        <f t="shared" si="5"/>
        <v>1</v>
      </c>
      <c r="E190" s="11" t="s">
        <v>64</v>
      </c>
      <c r="F190" s="11" t="s">
        <v>11</v>
      </c>
      <c r="G190" s="11" t="s">
        <v>28</v>
      </c>
      <c r="H190" s="32">
        <v>23</v>
      </c>
      <c r="I190" s="38">
        <f t="shared" si="6"/>
        <v>11500000</v>
      </c>
      <c r="K190" s="11"/>
      <c r="L190" s="10"/>
      <c r="M190" s="11"/>
      <c r="N190" s="11"/>
      <c r="O190" s="11"/>
      <c r="P190" s="11"/>
      <c r="Q190" s="11"/>
      <c r="R190" s="32"/>
      <c r="S190" s="11"/>
      <c r="T190" s="10"/>
      <c r="U190" s="11"/>
      <c r="V190" s="11"/>
      <c r="W190" s="11"/>
      <c r="X190" s="11"/>
      <c r="Y190" s="11"/>
      <c r="Z190" s="32"/>
      <c r="AA190" s="38"/>
      <c r="AC190" s="11"/>
      <c r="AD190" s="32"/>
    </row>
    <row r="191" spans="1:30">
      <c r="A191" s="11" t="s">
        <v>260</v>
      </c>
      <c r="B191" s="10">
        <v>45718</v>
      </c>
      <c r="C191" s="11">
        <f>MONTH(Table1[[#This Row],[Ngày]])</f>
        <v>3</v>
      </c>
      <c r="D191" s="11">
        <f t="shared" si="5"/>
        <v>1</v>
      </c>
      <c r="E191" s="11" t="s">
        <v>61</v>
      </c>
      <c r="F191" s="11" t="s">
        <v>11</v>
      </c>
      <c r="G191" s="11" t="s">
        <v>27</v>
      </c>
      <c r="H191" s="32">
        <v>87</v>
      </c>
      <c r="I191" s="38">
        <f t="shared" si="6"/>
        <v>43500000</v>
      </c>
      <c r="K191" s="11"/>
      <c r="L191" s="10"/>
      <c r="M191" s="11"/>
      <c r="N191" s="11"/>
      <c r="O191" s="11"/>
      <c r="P191" s="11"/>
      <c r="Q191" s="11"/>
      <c r="R191" s="32"/>
      <c r="S191" s="11"/>
      <c r="T191" s="10"/>
      <c r="U191" s="11"/>
      <c r="V191" s="11"/>
      <c r="W191" s="11"/>
      <c r="X191" s="11"/>
      <c r="Y191" s="11"/>
      <c r="Z191" s="32"/>
      <c r="AA191" s="38"/>
      <c r="AC191" s="11"/>
      <c r="AD191" s="32"/>
    </row>
    <row r="192" spans="1:30">
      <c r="A192" s="11" t="s">
        <v>261</v>
      </c>
      <c r="B192" s="10">
        <v>45660</v>
      </c>
      <c r="C192" s="11">
        <f>MONTH(Table1[[#This Row],[Ngày]])</f>
        <v>1</v>
      </c>
      <c r="D192" s="11">
        <f t="shared" si="5"/>
        <v>1</v>
      </c>
      <c r="E192" s="11" t="s">
        <v>61</v>
      </c>
      <c r="F192" s="11" t="s">
        <v>11</v>
      </c>
      <c r="G192" s="11" t="s">
        <v>27</v>
      </c>
      <c r="H192" s="32">
        <v>76</v>
      </c>
      <c r="I192" s="38">
        <f t="shared" si="6"/>
        <v>38000000</v>
      </c>
      <c r="K192" s="11"/>
      <c r="L192" s="10"/>
      <c r="M192" s="11"/>
      <c r="N192" s="11"/>
      <c r="O192" s="11"/>
      <c r="P192" s="11"/>
      <c r="Q192" s="11"/>
      <c r="R192" s="32"/>
      <c r="S192" s="11"/>
      <c r="T192" s="10"/>
      <c r="U192" s="11"/>
      <c r="V192" s="11"/>
      <c r="W192" s="11"/>
      <c r="X192" s="11"/>
      <c r="Y192" s="11"/>
      <c r="Z192" s="32"/>
      <c r="AA192" s="38"/>
      <c r="AC192" s="11"/>
      <c r="AD192" s="32"/>
    </row>
    <row r="193" spans="1:30">
      <c r="A193" s="11" t="s">
        <v>262</v>
      </c>
      <c r="B193" s="10">
        <v>45704</v>
      </c>
      <c r="C193" s="11">
        <f>MONTH(Table1[[#This Row],[Ngày]])</f>
        <v>2</v>
      </c>
      <c r="D193" s="11">
        <f t="shared" si="5"/>
        <v>1</v>
      </c>
      <c r="E193" s="11" t="s">
        <v>61</v>
      </c>
      <c r="F193" s="11" t="s">
        <v>11</v>
      </c>
      <c r="G193" s="11" t="s">
        <v>27</v>
      </c>
      <c r="H193" s="32">
        <v>25</v>
      </c>
      <c r="I193" s="38">
        <f t="shared" si="6"/>
        <v>12500000</v>
      </c>
      <c r="K193" s="11"/>
      <c r="L193" s="10"/>
      <c r="M193" s="11"/>
      <c r="N193" s="11"/>
      <c r="O193" s="11"/>
      <c r="P193" s="11"/>
      <c r="Q193" s="11"/>
      <c r="R193" s="32"/>
      <c r="S193" s="11"/>
      <c r="T193" s="10"/>
      <c r="U193" s="11"/>
      <c r="V193" s="11"/>
      <c r="W193" s="11"/>
      <c r="X193" s="11"/>
      <c r="Y193" s="11"/>
      <c r="Z193" s="32"/>
      <c r="AA193" s="38"/>
      <c r="AC193" s="11"/>
      <c r="AD193" s="32"/>
    </row>
    <row r="194" spans="1:30">
      <c r="A194" s="11" t="s">
        <v>263</v>
      </c>
      <c r="B194" s="10">
        <v>45681</v>
      </c>
      <c r="C194" s="11">
        <f>MONTH(Table1[[#This Row],[Ngày]])</f>
        <v>1</v>
      </c>
      <c r="D194" s="11">
        <f t="shared" ref="D194:D257" si="7">ROUNDUP($C194/3, 0)</f>
        <v>1</v>
      </c>
      <c r="E194" s="11" t="s">
        <v>55</v>
      </c>
      <c r="F194" s="11" t="s">
        <v>11</v>
      </c>
      <c r="G194" s="11" t="s">
        <v>28</v>
      </c>
      <c r="H194" s="32">
        <v>43</v>
      </c>
      <c r="I194" s="38">
        <f t="shared" ref="I194:I257" si="8">IF(F194="AS002", H194*350000,
IF(F194="AT001", H194*150000,
IF(F194="QT003", H194*500000, 0)))</f>
        <v>21500000</v>
      </c>
      <c r="K194" s="11"/>
      <c r="L194" s="10"/>
      <c r="M194" s="11"/>
      <c r="N194" s="11"/>
      <c r="O194" s="11"/>
      <c r="P194" s="11"/>
      <c r="Q194" s="11"/>
      <c r="R194" s="32"/>
      <c r="S194" s="11"/>
      <c r="T194" s="10"/>
      <c r="U194" s="11"/>
      <c r="V194" s="11"/>
      <c r="W194" s="11"/>
      <c r="X194" s="11"/>
      <c r="Y194" s="11"/>
      <c r="Z194" s="32"/>
      <c r="AA194" s="38"/>
      <c r="AC194" s="11"/>
      <c r="AD194" s="32"/>
    </row>
    <row r="195" spans="1:30">
      <c r="A195" s="11" t="s">
        <v>264</v>
      </c>
      <c r="B195" s="10">
        <v>45683</v>
      </c>
      <c r="C195" s="11">
        <f>MONTH(Table1[[#This Row],[Ngày]])</f>
        <v>1</v>
      </c>
      <c r="D195" s="11">
        <f t="shared" si="7"/>
        <v>1</v>
      </c>
      <c r="E195" s="11" t="s">
        <v>61</v>
      </c>
      <c r="F195" s="11" t="s">
        <v>9</v>
      </c>
      <c r="G195" s="11" t="s">
        <v>27</v>
      </c>
      <c r="H195" s="32">
        <v>86</v>
      </c>
      <c r="I195" s="38">
        <f t="shared" si="8"/>
        <v>30100000</v>
      </c>
      <c r="K195" s="11"/>
      <c r="L195" s="10"/>
      <c r="M195" s="11"/>
      <c r="N195" s="11"/>
      <c r="O195" s="11"/>
      <c r="P195" s="11"/>
      <c r="Q195" s="11"/>
      <c r="R195" s="32"/>
      <c r="S195" s="11"/>
      <c r="T195" s="10"/>
      <c r="U195" s="11"/>
      <c r="V195" s="11"/>
      <c r="W195" s="11"/>
      <c r="X195" s="11"/>
      <c r="Y195" s="11"/>
      <c r="Z195" s="32"/>
      <c r="AA195" s="38"/>
      <c r="AC195" s="11"/>
      <c r="AD195" s="32"/>
    </row>
    <row r="196" spans="1:30">
      <c r="A196" s="11" t="s">
        <v>265</v>
      </c>
      <c r="B196" s="10">
        <v>45670</v>
      </c>
      <c r="C196" s="11">
        <f>MONTH(Table1[[#This Row],[Ngày]])</f>
        <v>1</v>
      </c>
      <c r="D196" s="11">
        <f t="shared" si="7"/>
        <v>1</v>
      </c>
      <c r="E196" s="11" t="s">
        <v>55</v>
      </c>
      <c r="F196" s="11" t="s">
        <v>11</v>
      </c>
      <c r="G196" s="11" t="s">
        <v>28</v>
      </c>
      <c r="H196" s="32">
        <v>20</v>
      </c>
      <c r="I196" s="38">
        <f t="shared" si="8"/>
        <v>10000000</v>
      </c>
      <c r="K196" s="11"/>
      <c r="L196" s="10"/>
      <c r="M196" s="11"/>
      <c r="N196" s="11"/>
      <c r="O196" s="11"/>
      <c r="P196" s="11"/>
      <c r="Q196" s="11"/>
      <c r="R196" s="32"/>
      <c r="S196" s="11"/>
      <c r="T196" s="10"/>
      <c r="U196" s="11"/>
      <c r="V196" s="11"/>
      <c r="W196" s="11"/>
      <c r="X196" s="11"/>
      <c r="Y196" s="11"/>
      <c r="Z196" s="32"/>
      <c r="AA196" s="38"/>
      <c r="AC196" s="11"/>
      <c r="AD196" s="32"/>
    </row>
    <row r="197" spans="1:30">
      <c r="A197" s="11" t="s">
        <v>266</v>
      </c>
      <c r="B197" s="10">
        <v>45663</v>
      </c>
      <c r="C197" s="11">
        <f>MONTH(Table1[[#This Row],[Ngày]])</f>
        <v>1</v>
      </c>
      <c r="D197" s="11">
        <f t="shared" si="7"/>
        <v>1</v>
      </c>
      <c r="E197" s="11" t="s">
        <v>59</v>
      </c>
      <c r="F197" s="11" t="s">
        <v>6</v>
      </c>
      <c r="G197" s="11" t="s">
        <v>28</v>
      </c>
      <c r="H197" s="32">
        <v>89</v>
      </c>
      <c r="I197" s="38">
        <f t="shared" si="8"/>
        <v>13350000</v>
      </c>
      <c r="K197" s="11"/>
      <c r="L197" s="10"/>
      <c r="M197" s="11"/>
      <c r="N197" s="11"/>
      <c r="O197" s="11"/>
      <c r="P197" s="11"/>
      <c r="Q197" s="11"/>
      <c r="R197" s="32"/>
      <c r="S197" s="11"/>
      <c r="T197" s="10"/>
      <c r="U197" s="11"/>
      <c r="V197" s="11"/>
      <c r="W197" s="11"/>
      <c r="X197" s="11"/>
      <c r="Y197" s="11"/>
      <c r="Z197" s="32"/>
      <c r="AA197" s="38"/>
      <c r="AC197" s="11"/>
      <c r="AD197" s="32"/>
    </row>
    <row r="198" spans="1:30">
      <c r="A198" s="11" t="s">
        <v>267</v>
      </c>
      <c r="B198" s="10">
        <v>45669</v>
      </c>
      <c r="C198" s="11">
        <f>MONTH(Table1[[#This Row],[Ngày]])</f>
        <v>1</v>
      </c>
      <c r="D198" s="11">
        <f t="shared" si="7"/>
        <v>1</v>
      </c>
      <c r="E198" s="11" t="s">
        <v>59</v>
      </c>
      <c r="F198" s="11" t="s">
        <v>9</v>
      </c>
      <c r="G198" s="11" t="s">
        <v>27</v>
      </c>
      <c r="H198" s="32">
        <v>85</v>
      </c>
      <c r="I198" s="38">
        <f t="shared" si="8"/>
        <v>29750000</v>
      </c>
      <c r="K198" s="11"/>
      <c r="L198" s="10"/>
      <c r="M198" s="11"/>
      <c r="N198" s="11"/>
      <c r="O198" s="11"/>
      <c r="P198" s="11"/>
      <c r="Q198" s="11"/>
      <c r="R198" s="32"/>
      <c r="S198" s="11"/>
      <c r="T198" s="10"/>
      <c r="U198" s="11"/>
      <c r="V198" s="11"/>
      <c r="W198" s="11"/>
      <c r="X198" s="11"/>
      <c r="Y198" s="11"/>
      <c r="Z198" s="32"/>
      <c r="AA198" s="38"/>
      <c r="AC198" s="11"/>
      <c r="AD198" s="32"/>
    </row>
    <row r="199" spans="1:30">
      <c r="A199" s="11" t="s">
        <v>268</v>
      </c>
      <c r="B199" s="10">
        <v>45710</v>
      </c>
      <c r="C199" s="11">
        <f>MONTH(Table1[[#This Row],[Ngày]])</f>
        <v>2</v>
      </c>
      <c r="D199" s="11">
        <f t="shared" si="7"/>
        <v>1</v>
      </c>
      <c r="E199" s="11" t="s">
        <v>64</v>
      </c>
      <c r="F199" s="11" t="s">
        <v>11</v>
      </c>
      <c r="G199" s="11" t="s">
        <v>28</v>
      </c>
      <c r="H199" s="32">
        <v>97</v>
      </c>
      <c r="I199" s="38">
        <f t="shared" si="8"/>
        <v>48500000</v>
      </c>
      <c r="K199" s="11"/>
      <c r="L199" s="10"/>
      <c r="M199" s="11"/>
      <c r="N199" s="11"/>
      <c r="O199" s="11"/>
      <c r="P199" s="11"/>
      <c r="Q199" s="11"/>
      <c r="R199" s="32"/>
      <c r="S199" s="11"/>
      <c r="T199" s="10"/>
      <c r="U199" s="11"/>
      <c r="V199" s="11"/>
      <c r="W199" s="11"/>
      <c r="X199" s="11"/>
      <c r="Y199" s="11"/>
      <c r="Z199" s="32"/>
      <c r="AA199" s="38"/>
      <c r="AC199" s="11"/>
      <c r="AD199" s="32"/>
    </row>
    <row r="200" spans="1:30">
      <c r="A200" s="11" t="s">
        <v>269</v>
      </c>
      <c r="B200" s="10">
        <v>45684</v>
      </c>
      <c r="C200" s="11">
        <f>MONTH(Table1[[#This Row],[Ngày]])</f>
        <v>1</v>
      </c>
      <c r="D200" s="11">
        <f t="shared" si="7"/>
        <v>1</v>
      </c>
      <c r="E200" s="11" t="s">
        <v>64</v>
      </c>
      <c r="F200" s="11" t="s">
        <v>11</v>
      </c>
      <c r="G200" s="11" t="s">
        <v>27</v>
      </c>
      <c r="H200" s="32">
        <v>56</v>
      </c>
      <c r="I200" s="38">
        <f t="shared" si="8"/>
        <v>28000000</v>
      </c>
      <c r="K200" s="11"/>
      <c r="L200" s="10"/>
      <c r="M200" s="11"/>
      <c r="N200" s="11"/>
      <c r="O200" s="11"/>
      <c r="P200" s="11"/>
      <c r="Q200" s="11"/>
      <c r="R200" s="32"/>
      <c r="S200" s="11"/>
      <c r="T200" s="10"/>
      <c r="U200" s="11"/>
      <c r="V200" s="11"/>
      <c r="W200" s="11"/>
      <c r="X200" s="11"/>
      <c r="Y200" s="11"/>
      <c r="Z200" s="32"/>
      <c r="AA200" s="38"/>
      <c r="AC200" s="11"/>
      <c r="AD200" s="32"/>
    </row>
    <row r="201" spans="1:30">
      <c r="A201" s="11" t="s">
        <v>270</v>
      </c>
      <c r="B201" s="10">
        <v>45680</v>
      </c>
      <c r="C201" s="11">
        <f>MONTH(Table1[[#This Row],[Ngày]])</f>
        <v>1</v>
      </c>
      <c r="D201" s="11">
        <f t="shared" si="7"/>
        <v>1</v>
      </c>
      <c r="E201" s="11" t="s">
        <v>61</v>
      </c>
      <c r="F201" s="11" t="s">
        <v>11</v>
      </c>
      <c r="G201" s="11" t="s">
        <v>27</v>
      </c>
      <c r="H201" s="32">
        <v>31</v>
      </c>
      <c r="I201" s="38">
        <f t="shared" si="8"/>
        <v>15500000</v>
      </c>
      <c r="K201" s="11"/>
      <c r="L201" s="10"/>
      <c r="M201" s="11"/>
      <c r="N201" s="11"/>
      <c r="O201" s="11"/>
      <c r="P201" s="11"/>
      <c r="Q201" s="11"/>
      <c r="R201" s="32"/>
      <c r="S201" s="11"/>
      <c r="T201" s="10"/>
      <c r="U201" s="11"/>
      <c r="V201" s="11"/>
      <c r="W201" s="11"/>
      <c r="X201" s="11"/>
      <c r="Y201" s="11"/>
      <c r="Z201" s="32"/>
      <c r="AA201" s="38"/>
      <c r="AC201" s="11"/>
      <c r="AD201" s="32"/>
    </row>
    <row r="202" spans="1:30">
      <c r="A202" s="11" t="s">
        <v>271</v>
      </c>
      <c r="B202" s="10">
        <v>45662</v>
      </c>
      <c r="C202" s="11">
        <f>MONTH(Table1[[#This Row],[Ngày]])</f>
        <v>1</v>
      </c>
      <c r="D202" s="11">
        <f t="shared" si="7"/>
        <v>1</v>
      </c>
      <c r="E202" s="11" t="s">
        <v>59</v>
      </c>
      <c r="F202" s="11" t="s">
        <v>9</v>
      </c>
      <c r="G202" s="11" t="s">
        <v>28</v>
      </c>
      <c r="H202" s="32">
        <v>23</v>
      </c>
      <c r="I202" s="38">
        <f t="shared" si="8"/>
        <v>8050000</v>
      </c>
      <c r="K202" s="11"/>
      <c r="L202" s="10"/>
      <c r="M202" s="11"/>
      <c r="N202" s="11"/>
      <c r="O202" s="11"/>
      <c r="P202" s="11"/>
      <c r="Q202" s="11"/>
      <c r="R202" s="32"/>
      <c r="S202" s="11"/>
      <c r="T202" s="10"/>
      <c r="U202" s="11"/>
      <c r="V202" s="11"/>
      <c r="W202" s="11"/>
      <c r="X202" s="11"/>
      <c r="Y202" s="11"/>
      <c r="Z202" s="32"/>
      <c r="AA202" s="38"/>
      <c r="AC202" s="11"/>
      <c r="AD202" s="32"/>
    </row>
    <row r="203" spans="1:30">
      <c r="A203" s="11" t="s">
        <v>272</v>
      </c>
      <c r="B203" s="10">
        <v>45677</v>
      </c>
      <c r="C203" s="11">
        <f>MONTH(Table1[[#This Row],[Ngày]])</f>
        <v>1</v>
      </c>
      <c r="D203" s="11">
        <f t="shared" si="7"/>
        <v>1</v>
      </c>
      <c r="E203" s="11" t="s">
        <v>59</v>
      </c>
      <c r="F203" s="11" t="s">
        <v>6</v>
      </c>
      <c r="G203" s="11" t="s">
        <v>28</v>
      </c>
      <c r="H203" s="32">
        <v>78</v>
      </c>
      <c r="I203" s="38">
        <f t="shared" si="8"/>
        <v>11700000</v>
      </c>
      <c r="K203" s="11"/>
      <c r="L203" s="10"/>
      <c r="M203" s="11"/>
      <c r="N203" s="11"/>
      <c r="O203" s="11"/>
      <c r="P203" s="11"/>
      <c r="Q203" s="11"/>
      <c r="R203" s="32"/>
      <c r="S203" s="11"/>
      <c r="T203" s="10"/>
      <c r="U203" s="11"/>
      <c r="V203" s="11"/>
      <c r="W203" s="11"/>
      <c r="X203" s="11"/>
      <c r="Y203" s="11"/>
      <c r="Z203" s="32"/>
      <c r="AA203" s="38"/>
      <c r="AC203" s="11"/>
      <c r="AD203" s="32"/>
    </row>
    <row r="204" spans="1:30">
      <c r="A204" s="11" t="s">
        <v>273</v>
      </c>
      <c r="B204" s="10">
        <v>45695</v>
      </c>
      <c r="C204" s="11">
        <f>MONTH(Table1[[#This Row],[Ngày]])</f>
        <v>2</v>
      </c>
      <c r="D204" s="11">
        <f t="shared" si="7"/>
        <v>1</v>
      </c>
      <c r="E204" s="11" t="s">
        <v>61</v>
      </c>
      <c r="F204" s="11" t="s">
        <v>6</v>
      </c>
      <c r="G204" s="11" t="s">
        <v>27</v>
      </c>
      <c r="H204" s="32">
        <v>84</v>
      </c>
      <c r="I204" s="38">
        <f t="shared" si="8"/>
        <v>12600000</v>
      </c>
      <c r="K204" s="11"/>
      <c r="L204" s="10"/>
      <c r="M204" s="11"/>
      <c r="N204" s="11"/>
      <c r="O204" s="11"/>
      <c r="P204" s="11"/>
      <c r="Q204" s="11"/>
      <c r="R204" s="32"/>
      <c r="S204" s="11"/>
      <c r="T204" s="10"/>
      <c r="U204" s="11"/>
      <c r="V204" s="11"/>
      <c r="W204" s="11"/>
      <c r="X204" s="11"/>
      <c r="Y204" s="11"/>
      <c r="Z204" s="32"/>
      <c r="AA204" s="38"/>
      <c r="AC204" s="11"/>
      <c r="AD204" s="32"/>
    </row>
    <row r="205" spans="1:30">
      <c r="A205" s="11" t="s">
        <v>274</v>
      </c>
      <c r="B205" s="10">
        <v>45662</v>
      </c>
      <c r="C205" s="11">
        <f>MONTH(Table1[[#This Row],[Ngày]])</f>
        <v>1</v>
      </c>
      <c r="D205" s="11">
        <f t="shared" si="7"/>
        <v>1</v>
      </c>
      <c r="E205" s="11" t="s">
        <v>64</v>
      </c>
      <c r="F205" s="11" t="s">
        <v>9</v>
      </c>
      <c r="G205" s="11" t="s">
        <v>28</v>
      </c>
      <c r="H205" s="32">
        <v>73</v>
      </c>
      <c r="I205" s="38">
        <f t="shared" si="8"/>
        <v>25550000</v>
      </c>
      <c r="K205" s="11"/>
      <c r="L205" s="10"/>
      <c r="M205" s="11"/>
      <c r="N205" s="11"/>
      <c r="O205" s="11"/>
      <c r="P205" s="11"/>
      <c r="Q205" s="11"/>
      <c r="R205" s="32"/>
      <c r="S205" s="11"/>
      <c r="T205" s="10"/>
      <c r="U205" s="11"/>
      <c r="V205" s="11"/>
      <c r="W205" s="11"/>
      <c r="X205" s="11"/>
      <c r="Y205" s="11"/>
      <c r="Z205" s="32"/>
      <c r="AA205" s="38"/>
      <c r="AC205" s="11"/>
      <c r="AD205" s="32"/>
    </row>
    <row r="206" spans="1:30">
      <c r="A206" s="11" t="s">
        <v>275</v>
      </c>
      <c r="B206" s="10">
        <v>45674</v>
      </c>
      <c r="C206" s="11">
        <f>MONTH(Table1[[#This Row],[Ngày]])</f>
        <v>1</v>
      </c>
      <c r="D206" s="11">
        <f t="shared" si="7"/>
        <v>1</v>
      </c>
      <c r="E206" s="11" t="s">
        <v>64</v>
      </c>
      <c r="F206" s="11" t="s">
        <v>11</v>
      </c>
      <c r="G206" s="11" t="s">
        <v>27</v>
      </c>
      <c r="H206" s="32">
        <v>21</v>
      </c>
      <c r="I206" s="38">
        <f t="shared" si="8"/>
        <v>10500000</v>
      </c>
      <c r="K206" s="11"/>
      <c r="L206" s="10"/>
      <c r="M206" s="11"/>
      <c r="N206" s="11"/>
      <c r="O206" s="11"/>
      <c r="P206" s="11"/>
      <c r="Q206" s="11"/>
      <c r="R206" s="32"/>
      <c r="S206" s="11"/>
      <c r="T206" s="10"/>
      <c r="U206" s="11"/>
      <c r="V206" s="11"/>
      <c r="W206" s="11"/>
      <c r="X206" s="11"/>
      <c r="Y206" s="11"/>
      <c r="Z206" s="32"/>
      <c r="AA206" s="38"/>
      <c r="AC206" s="11"/>
      <c r="AD206" s="32"/>
    </row>
    <row r="207" spans="1:30">
      <c r="A207" s="11" t="s">
        <v>276</v>
      </c>
      <c r="B207" s="10">
        <v>45691</v>
      </c>
      <c r="C207" s="11">
        <f>MONTH(Table1[[#This Row],[Ngày]])</f>
        <v>2</v>
      </c>
      <c r="D207" s="11">
        <f t="shared" si="7"/>
        <v>1</v>
      </c>
      <c r="E207" s="11" t="s">
        <v>59</v>
      </c>
      <c r="F207" s="11" t="s">
        <v>6</v>
      </c>
      <c r="G207" s="11" t="s">
        <v>28</v>
      </c>
      <c r="H207" s="32">
        <v>36</v>
      </c>
      <c r="I207" s="38">
        <f t="shared" si="8"/>
        <v>5400000</v>
      </c>
      <c r="K207" s="11"/>
      <c r="L207" s="10"/>
      <c r="M207" s="11"/>
      <c r="N207" s="11"/>
      <c r="O207" s="11"/>
      <c r="P207" s="11"/>
      <c r="Q207" s="11"/>
      <c r="R207" s="32"/>
      <c r="S207" s="11"/>
      <c r="T207" s="10"/>
      <c r="U207" s="11"/>
      <c r="V207" s="11"/>
      <c r="W207" s="11"/>
      <c r="X207" s="11"/>
      <c r="Y207" s="11"/>
      <c r="Z207" s="32"/>
      <c r="AA207" s="38"/>
      <c r="AC207" s="11"/>
      <c r="AD207" s="32"/>
    </row>
    <row r="208" spans="1:30">
      <c r="A208" s="11" t="s">
        <v>277</v>
      </c>
      <c r="B208" s="10">
        <v>45692</v>
      </c>
      <c r="C208" s="11">
        <f>MONTH(Table1[[#This Row],[Ngày]])</f>
        <v>2</v>
      </c>
      <c r="D208" s="11">
        <f t="shared" si="7"/>
        <v>1</v>
      </c>
      <c r="E208" s="11" t="s">
        <v>64</v>
      </c>
      <c r="F208" s="11" t="s">
        <v>9</v>
      </c>
      <c r="G208" s="11" t="s">
        <v>28</v>
      </c>
      <c r="H208" s="32">
        <v>12</v>
      </c>
      <c r="I208" s="38">
        <f t="shared" si="8"/>
        <v>4200000</v>
      </c>
      <c r="K208" s="11"/>
      <c r="L208" s="10"/>
      <c r="M208" s="11"/>
      <c r="N208" s="11"/>
      <c r="O208" s="11"/>
      <c r="P208" s="11"/>
      <c r="Q208" s="11"/>
      <c r="R208" s="32"/>
      <c r="S208" s="11"/>
      <c r="T208" s="10"/>
      <c r="U208" s="11"/>
      <c r="V208" s="11"/>
      <c r="W208" s="11"/>
      <c r="X208" s="11"/>
      <c r="Y208" s="11"/>
      <c r="Z208" s="32"/>
      <c r="AA208" s="38"/>
      <c r="AC208" s="11"/>
      <c r="AD208" s="32"/>
    </row>
    <row r="209" spans="1:30">
      <c r="A209" s="11" t="s">
        <v>278</v>
      </c>
      <c r="B209" s="10">
        <v>45695</v>
      </c>
      <c r="C209" s="11">
        <f>MONTH(Table1[[#This Row],[Ngày]])</f>
        <v>2</v>
      </c>
      <c r="D209" s="11">
        <f t="shared" si="7"/>
        <v>1</v>
      </c>
      <c r="E209" s="11" t="s">
        <v>64</v>
      </c>
      <c r="F209" s="11" t="s">
        <v>9</v>
      </c>
      <c r="G209" s="11" t="s">
        <v>28</v>
      </c>
      <c r="H209" s="32">
        <v>15</v>
      </c>
      <c r="I209" s="38">
        <f t="shared" si="8"/>
        <v>5250000</v>
      </c>
      <c r="K209" s="11"/>
      <c r="L209" s="10"/>
      <c r="M209" s="11"/>
      <c r="N209" s="11"/>
      <c r="O209" s="11"/>
      <c r="P209" s="11"/>
      <c r="Q209" s="11"/>
      <c r="R209" s="32"/>
      <c r="S209" s="11"/>
      <c r="T209" s="10"/>
      <c r="U209" s="11"/>
      <c r="V209" s="11"/>
      <c r="W209" s="11"/>
      <c r="X209" s="11"/>
      <c r="Y209" s="11"/>
      <c r="Z209" s="32"/>
      <c r="AA209" s="38"/>
      <c r="AC209" s="11"/>
      <c r="AD209" s="32"/>
    </row>
    <row r="210" spans="1:30">
      <c r="A210" s="11" t="s">
        <v>279</v>
      </c>
      <c r="B210" s="10">
        <v>45712</v>
      </c>
      <c r="C210" s="11">
        <f>MONTH(Table1[[#This Row],[Ngày]])</f>
        <v>2</v>
      </c>
      <c r="D210" s="11">
        <f t="shared" si="7"/>
        <v>1</v>
      </c>
      <c r="E210" s="11" t="s">
        <v>61</v>
      </c>
      <c r="F210" s="11" t="s">
        <v>9</v>
      </c>
      <c r="G210" s="11" t="s">
        <v>27</v>
      </c>
      <c r="H210" s="32">
        <v>24</v>
      </c>
      <c r="I210" s="38">
        <f t="shared" si="8"/>
        <v>8400000</v>
      </c>
      <c r="K210" s="11"/>
      <c r="L210" s="10"/>
      <c r="M210" s="11"/>
      <c r="N210" s="11"/>
      <c r="O210" s="11"/>
      <c r="P210" s="11"/>
      <c r="Q210" s="11"/>
      <c r="R210" s="32"/>
      <c r="S210" s="11"/>
      <c r="T210" s="10"/>
      <c r="U210" s="11"/>
      <c r="V210" s="11"/>
      <c r="W210" s="11"/>
      <c r="X210" s="11"/>
      <c r="Y210" s="11"/>
      <c r="Z210" s="32"/>
      <c r="AA210" s="38"/>
      <c r="AC210" s="11"/>
      <c r="AD210" s="32"/>
    </row>
    <row r="211" spans="1:30">
      <c r="A211" s="11" t="s">
        <v>280</v>
      </c>
      <c r="B211" s="10">
        <v>45691</v>
      </c>
      <c r="C211" s="11">
        <f>MONTH(Table1[[#This Row],[Ngày]])</f>
        <v>2</v>
      </c>
      <c r="D211" s="11">
        <f t="shared" si="7"/>
        <v>1</v>
      </c>
      <c r="E211" s="11" t="s">
        <v>55</v>
      </c>
      <c r="F211" s="11" t="s">
        <v>6</v>
      </c>
      <c r="G211" s="11" t="s">
        <v>27</v>
      </c>
      <c r="H211" s="32">
        <v>53</v>
      </c>
      <c r="I211" s="38">
        <f t="shared" si="8"/>
        <v>7950000</v>
      </c>
      <c r="K211" s="11"/>
      <c r="L211" s="10"/>
      <c r="M211" s="11"/>
      <c r="N211" s="11"/>
      <c r="O211" s="11"/>
      <c r="P211" s="11"/>
      <c r="Q211" s="11"/>
      <c r="R211" s="32"/>
      <c r="S211" s="11"/>
      <c r="T211" s="10"/>
      <c r="U211" s="11"/>
      <c r="V211" s="11"/>
      <c r="W211" s="11"/>
      <c r="X211" s="11"/>
      <c r="Y211" s="11"/>
      <c r="Z211" s="32"/>
      <c r="AA211" s="38"/>
      <c r="AC211" s="11"/>
      <c r="AD211" s="32"/>
    </row>
    <row r="212" spans="1:30">
      <c r="A212" s="11" t="s">
        <v>281</v>
      </c>
      <c r="B212" s="10">
        <v>45708</v>
      </c>
      <c r="C212" s="11">
        <f>MONTH(Table1[[#This Row],[Ngày]])</f>
        <v>2</v>
      </c>
      <c r="D212" s="11">
        <f t="shared" si="7"/>
        <v>1</v>
      </c>
      <c r="E212" s="11" t="s">
        <v>61</v>
      </c>
      <c r="F212" s="11" t="s">
        <v>6</v>
      </c>
      <c r="G212" s="11" t="s">
        <v>27</v>
      </c>
      <c r="H212" s="32">
        <v>42</v>
      </c>
      <c r="I212" s="38">
        <f t="shared" si="8"/>
        <v>6300000</v>
      </c>
      <c r="K212" s="11"/>
      <c r="L212" s="10"/>
      <c r="M212" s="11"/>
      <c r="N212" s="11"/>
      <c r="O212" s="11"/>
      <c r="P212" s="11"/>
      <c r="Q212" s="11"/>
      <c r="R212" s="32"/>
      <c r="S212" s="11"/>
      <c r="T212" s="10"/>
      <c r="U212" s="11"/>
      <c r="V212" s="11"/>
      <c r="W212" s="11"/>
      <c r="X212" s="11"/>
      <c r="Y212" s="11"/>
      <c r="Z212" s="32"/>
      <c r="AA212" s="38"/>
      <c r="AC212" s="11"/>
      <c r="AD212" s="32"/>
    </row>
    <row r="213" spans="1:30">
      <c r="A213" s="11" t="s">
        <v>282</v>
      </c>
      <c r="B213" s="10">
        <v>45712</v>
      </c>
      <c r="C213" s="11">
        <f>MONTH(Table1[[#This Row],[Ngày]])</f>
        <v>2</v>
      </c>
      <c r="D213" s="11">
        <f t="shared" si="7"/>
        <v>1</v>
      </c>
      <c r="E213" s="11" t="s">
        <v>64</v>
      </c>
      <c r="F213" s="11" t="s">
        <v>9</v>
      </c>
      <c r="G213" s="11" t="s">
        <v>28</v>
      </c>
      <c r="H213" s="32">
        <v>95</v>
      </c>
      <c r="I213" s="38">
        <f t="shared" si="8"/>
        <v>33250000</v>
      </c>
      <c r="K213" s="11"/>
      <c r="L213" s="10"/>
      <c r="M213" s="11"/>
      <c r="N213" s="11"/>
      <c r="O213" s="11"/>
      <c r="P213" s="11"/>
      <c r="Q213" s="11"/>
      <c r="R213" s="32"/>
      <c r="S213" s="11"/>
      <c r="T213" s="10"/>
      <c r="U213" s="11"/>
      <c r="V213" s="11"/>
      <c r="W213" s="11"/>
      <c r="X213" s="11"/>
      <c r="Y213" s="11"/>
      <c r="Z213" s="32"/>
      <c r="AA213" s="38"/>
      <c r="AC213" s="11"/>
      <c r="AD213" s="32"/>
    </row>
    <row r="214" spans="1:30">
      <c r="A214" s="11" t="s">
        <v>283</v>
      </c>
      <c r="B214" s="10">
        <v>45665</v>
      </c>
      <c r="C214" s="11">
        <f>MONTH(Table1[[#This Row],[Ngày]])</f>
        <v>1</v>
      </c>
      <c r="D214" s="11">
        <f t="shared" si="7"/>
        <v>1</v>
      </c>
      <c r="E214" s="11" t="s">
        <v>61</v>
      </c>
      <c r="F214" s="11" t="s">
        <v>9</v>
      </c>
      <c r="G214" s="11" t="s">
        <v>28</v>
      </c>
      <c r="H214" s="32">
        <v>64</v>
      </c>
      <c r="I214" s="38">
        <f t="shared" si="8"/>
        <v>22400000</v>
      </c>
      <c r="K214" s="11"/>
      <c r="L214" s="10"/>
      <c r="M214" s="11"/>
      <c r="N214" s="11"/>
      <c r="O214" s="11"/>
      <c r="P214" s="11"/>
      <c r="Q214" s="11"/>
      <c r="R214" s="32"/>
      <c r="S214" s="11"/>
      <c r="T214" s="10"/>
      <c r="U214" s="11"/>
      <c r="V214" s="11"/>
      <c r="W214" s="11"/>
      <c r="X214" s="11"/>
      <c r="Y214" s="11"/>
      <c r="Z214" s="32"/>
      <c r="AA214" s="38"/>
      <c r="AC214" s="11"/>
      <c r="AD214" s="32"/>
    </row>
    <row r="215" spans="1:30">
      <c r="A215" s="11" t="s">
        <v>284</v>
      </c>
      <c r="B215" s="10">
        <v>45694</v>
      </c>
      <c r="C215" s="11">
        <f>MONTH(Table1[[#This Row],[Ngày]])</f>
        <v>2</v>
      </c>
      <c r="D215" s="11">
        <f t="shared" si="7"/>
        <v>1</v>
      </c>
      <c r="E215" s="11" t="s">
        <v>61</v>
      </c>
      <c r="F215" s="11" t="s">
        <v>6</v>
      </c>
      <c r="G215" s="11" t="s">
        <v>28</v>
      </c>
      <c r="H215" s="32">
        <v>68</v>
      </c>
      <c r="I215" s="38">
        <f t="shared" si="8"/>
        <v>10200000</v>
      </c>
      <c r="K215" s="11"/>
      <c r="L215" s="10"/>
      <c r="M215" s="11"/>
      <c r="N215" s="11"/>
      <c r="O215" s="11"/>
      <c r="P215" s="11"/>
      <c r="Q215" s="11"/>
      <c r="R215" s="32"/>
      <c r="S215" s="11"/>
      <c r="T215" s="10"/>
      <c r="U215" s="11"/>
      <c r="V215" s="11"/>
      <c r="W215" s="11"/>
      <c r="X215" s="11"/>
      <c r="Y215" s="11"/>
      <c r="Z215" s="32"/>
      <c r="AA215" s="38"/>
      <c r="AC215" s="11"/>
      <c r="AD215" s="32"/>
    </row>
    <row r="216" spans="1:30">
      <c r="A216" s="11" t="s">
        <v>285</v>
      </c>
      <c r="B216" s="10">
        <v>45660</v>
      </c>
      <c r="C216" s="11">
        <f>MONTH(Table1[[#This Row],[Ngày]])</f>
        <v>1</v>
      </c>
      <c r="D216" s="11">
        <f t="shared" si="7"/>
        <v>1</v>
      </c>
      <c r="E216" s="11" t="s">
        <v>59</v>
      </c>
      <c r="F216" s="11" t="s">
        <v>6</v>
      </c>
      <c r="G216" s="11" t="s">
        <v>27</v>
      </c>
      <c r="H216" s="32">
        <v>33</v>
      </c>
      <c r="I216" s="38">
        <f t="shared" si="8"/>
        <v>4950000</v>
      </c>
      <c r="K216" s="11"/>
      <c r="L216" s="10"/>
      <c r="M216" s="11"/>
      <c r="N216" s="11"/>
      <c r="O216" s="11"/>
      <c r="P216" s="11"/>
      <c r="Q216" s="11"/>
      <c r="R216" s="32"/>
      <c r="S216" s="11"/>
      <c r="T216" s="10"/>
      <c r="U216" s="11"/>
      <c r="V216" s="11"/>
      <c r="W216" s="11"/>
      <c r="X216" s="11"/>
      <c r="Y216" s="11"/>
      <c r="Z216" s="32"/>
      <c r="AA216" s="38"/>
      <c r="AC216" s="11"/>
      <c r="AD216" s="32"/>
    </row>
    <row r="217" spans="1:30">
      <c r="A217" s="11" t="s">
        <v>286</v>
      </c>
      <c r="B217" s="10">
        <v>45662</v>
      </c>
      <c r="C217" s="11">
        <f>MONTH(Table1[[#This Row],[Ngày]])</f>
        <v>1</v>
      </c>
      <c r="D217" s="11">
        <f t="shared" si="7"/>
        <v>1</v>
      </c>
      <c r="E217" s="11" t="s">
        <v>55</v>
      </c>
      <c r="F217" s="11" t="s">
        <v>11</v>
      </c>
      <c r="G217" s="11" t="s">
        <v>27</v>
      </c>
      <c r="H217" s="32">
        <v>75</v>
      </c>
      <c r="I217" s="38">
        <f t="shared" si="8"/>
        <v>37500000</v>
      </c>
      <c r="K217" s="11"/>
      <c r="L217" s="10"/>
      <c r="M217" s="11"/>
      <c r="N217" s="11"/>
      <c r="O217" s="11"/>
      <c r="P217" s="11"/>
      <c r="Q217" s="11"/>
      <c r="R217" s="32"/>
      <c r="S217" s="11"/>
      <c r="T217" s="10"/>
      <c r="U217" s="11"/>
      <c r="V217" s="11"/>
      <c r="W217" s="11"/>
      <c r="X217" s="11"/>
      <c r="Y217" s="11"/>
      <c r="Z217" s="32"/>
      <c r="AA217" s="38"/>
      <c r="AC217" s="11"/>
      <c r="AD217" s="32"/>
    </row>
    <row r="218" spans="1:30">
      <c r="A218" s="11" t="s">
        <v>287</v>
      </c>
      <c r="B218" s="10">
        <v>45697</v>
      </c>
      <c r="C218" s="11">
        <f>MONTH(Table1[[#This Row],[Ngày]])</f>
        <v>2</v>
      </c>
      <c r="D218" s="11">
        <f t="shared" si="7"/>
        <v>1</v>
      </c>
      <c r="E218" s="11" t="s">
        <v>64</v>
      </c>
      <c r="F218" s="11" t="s">
        <v>11</v>
      </c>
      <c r="G218" s="11" t="s">
        <v>27</v>
      </c>
      <c r="H218" s="32">
        <v>10</v>
      </c>
      <c r="I218" s="38">
        <f t="shared" si="8"/>
        <v>5000000</v>
      </c>
      <c r="K218" s="11"/>
      <c r="L218" s="10"/>
      <c r="M218" s="11"/>
      <c r="N218" s="11"/>
      <c r="O218" s="11"/>
      <c r="P218" s="11"/>
      <c r="Q218" s="11"/>
      <c r="R218" s="32"/>
      <c r="S218" s="11"/>
      <c r="T218" s="10"/>
      <c r="U218" s="11"/>
      <c r="V218" s="11"/>
      <c r="W218" s="11"/>
      <c r="X218" s="11"/>
      <c r="Y218" s="11"/>
      <c r="Z218" s="32"/>
      <c r="AA218" s="38"/>
      <c r="AC218" s="11"/>
      <c r="AD218" s="32"/>
    </row>
    <row r="219" spans="1:30">
      <c r="A219" s="11" t="s">
        <v>288</v>
      </c>
      <c r="B219" s="10">
        <v>45708</v>
      </c>
      <c r="C219" s="11">
        <f>MONTH(Table1[[#This Row],[Ngày]])</f>
        <v>2</v>
      </c>
      <c r="D219" s="11">
        <f t="shared" si="7"/>
        <v>1</v>
      </c>
      <c r="E219" s="11" t="s">
        <v>64</v>
      </c>
      <c r="F219" s="11" t="s">
        <v>6</v>
      </c>
      <c r="G219" s="11" t="s">
        <v>28</v>
      </c>
      <c r="H219" s="32">
        <v>93</v>
      </c>
      <c r="I219" s="38">
        <f t="shared" si="8"/>
        <v>13950000</v>
      </c>
      <c r="K219" s="11"/>
      <c r="L219" s="10"/>
      <c r="M219" s="11"/>
      <c r="N219" s="11"/>
      <c r="O219" s="11"/>
      <c r="P219" s="11"/>
      <c r="Q219" s="11"/>
      <c r="R219" s="32"/>
      <c r="S219" s="11"/>
      <c r="T219" s="10"/>
      <c r="U219" s="11"/>
      <c r="V219" s="11"/>
      <c r="W219" s="11"/>
      <c r="X219" s="11"/>
      <c r="Y219" s="11"/>
      <c r="Z219" s="32"/>
      <c r="AA219" s="38"/>
      <c r="AC219" s="11"/>
      <c r="AD219" s="32"/>
    </row>
    <row r="220" spans="1:30">
      <c r="A220" s="11" t="s">
        <v>289</v>
      </c>
      <c r="B220" s="10">
        <v>45694</v>
      </c>
      <c r="C220" s="11">
        <f>MONTH(Table1[[#This Row],[Ngày]])</f>
        <v>2</v>
      </c>
      <c r="D220" s="11">
        <f t="shared" si="7"/>
        <v>1</v>
      </c>
      <c r="E220" s="11" t="s">
        <v>51</v>
      </c>
      <c r="F220" s="11" t="s">
        <v>6</v>
      </c>
      <c r="G220" s="11" t="s">
        <v>27</v>
      </c>
      <c r="H220" s="32">
        <v>89</v>
      </c>
      <c r="I220" s="38">
        <f t="shared" si="8"/>
        <v>13350000</v>
      </c>
      <c r="K220" s="11"/>
      <c r="L220" s="10"/>
      <c r="M220" s="11"/>
      <c r="N220" s="11"/>
      <c r="O220" s="11"/>
      <c r="P220" s="11"/>
      <c r="Q220" s="11"/>
      <c r="R220" s="32"/>
      <c r="S220" s="11"/>
      <c r="T220" s="10"/>
      <c r="U220" s="11"/>
      <c r="V220" s="11"/>
      <c r="W220" s="11"/>
      <c r="X220" s="11"/>
      <c r="Y220" s="11"/>
      <c r="Z220" s="32"/>
      <c r="AA220" s="38"/>
      <c r="AC220" s="11"/>
      <c r="AD220" s="32"/>
    </row>
    <row r="221" spans="1:30">
      <c r="A221" s="11" t="s">
        <v>290</v>
      </c>
      <c r="B221" s="10">
        <v>45691</v>
      </c>
      <c r="C221" s="11">
        <f>MONTH(Table1[[#This Row],[Ngày]])</f>
        <v>2</v>
      </c>
      <c r="D221" s="11">
        <f t="shared" si="7"/>
        <v>1</v>
      </c>
      <c r="E221" s="11" t="s">
        <v>64</v>
      </c>
      <c r="F221" s="11" t="s">
        <v>11</v>
      </c>
      <c r="G221" s="11" t="s">
        <v>27</v>
      </c>
      <c r="H221" s="32">
        <v>27</v>
      </c>
      <c r="I221" s="38">
        <f t="shared" si="8"/>
        <v>13500000</v>
      </c>
      <c r="K221" s="11"/>
      <c r="L221" s="10"/>
      <c r="M221" s="11"/>
      <c r="N221" s="11"/>
      <c r="O221" s="11"/>
      <c r="P221" s="11"/>
      <c r="Q221" s="11"/>
      <c r="R221" s="32"/>
      <c r="S221" s="11"/>
      <c r="T221" s="10"/>
      <c r="U221" s="11"/>
      <c r="V221" s="11"/>
      <c r="W221" s="11"/>
      <c r="X221" s="11"/>
      <c r="Y221" s="11"/>
      <c r="Z221" s="32"/>
      <c r="AA221" s="38"/>
      <c r="AC221" s="11"/>
      <c r="AD221" s="32"/>
    </row>
    <row r="222" spans="1:30">
      <c r="A222" s="11" t="s">
        <v>291</v>
      </c>
      <c r="B222" s="10">
        <v>45679</v>
      </c>
      <c r="C222" s="11">
        <f>MONTH(Table1[[#This Row],[Ngày]])</f>
        <v>1</v>
      </c>
      <c r="D222" s="11">
        <f t="shared" si="7"/>
        <v>1</v>
      </c>
      <c r="E222" s="11" t="s">
        <v>59</v>
      </c>
      <c r="F222" s="11" t="s">
        <v>11</v>
      </c>
      <c r="G222" s="11" t="s">
        <v>27</v>
      </c>
      <c r="H222" s="32">
        <v>55</v>
      </c>
      <c r="I222" s="38">
        <f t="shared" si="8"/>
        <v>27500000</v>
      </c>
      <c r="K222" s="11"/>
      <c r="L222" s="10"/>
      <c r="M222" s="11"/>
      <c r="N222" s="11"/>
      <c r="O222" s="11"/>
      <c r="P222" s="11"/>
      <c r="Q222" s="11"/>
      <c r="R222" s="32"/>
      <c r="S222" s="11"/>
      <c r="T222" s="10"/>
      <c r="U222" s="11"/>
      <c r="V222" s="11"/>
      <c r="W222" s="11"/>
      <c r="X222" s="11"/>
      <c r="Y222" s="11"/>
      <c r="Z222" s="32"/>
      <c r="AA222" s="38"/>
      <c r="AC222" s="11"/>
      <c r="AD222" s="32"/>
    </row>
    <row r="223" spans="1:30">
      <c r="A223" s="11" t="s">
        <v>292</v>
      </c>
      <c r="B223" s="10">
        <v>45705</v>
      </c>
      <c r="C223" s="11">
        <f>MONTH(Table1[[#This Row],[Ngày]])</f>
        <v>2</v>
      </c>
      <c r="D223" s="11">
        <f t="shared" si="7"/>
        <v>1</v>
      </c>
      <c r="E223" s="11" t="s">
        <v>55</v>
      </c>
      <c r="F223" s="11" t="s">
        <v>9</v>
      </c>
      <c r="G223" s="11" t="s">
        <v>27</v>
      </c>
      <c r="H223" s="32">
        <v>27</v>
      </c>
      <c r="I223" s="38">
        <f t="shared" si="8"/>
        <v>9450000</v>
      </c>
      <c r="K223" s="11"/>
      <c r="L223" s="10"/>
      <c r="M223" s="11"/>
      <c r="N223" s="11"/>
      <c r="O223" s="11"/>
      <c r="P223" s="11"/>
      <c r="Q223" s="11"/>
      <c r="R223" s="32"/>
      <c r="S223" s="11"/>
      <c r="T223" s="10"/>
      <c r="U223" s="11"/>
      <c r="V223" s="11"/>
      <c r="W223" s="11"/>
      <c r="X223" s="11"/>
      <c r="Y223" s="11"/>
      <c r="Z223" s="32"/>
      <c r="AA223" s="38"/>
      <c r="AC223" s="11"/>
      <c r="AD223" s="32"/>
    </row>
    <row r="224" spans="1:30">
      <c r="A224" s="11" t="s">
        <v>293</v>
      </c>
      <c r="B224" s="10">
        <v>45671</v>
      </c>
      <c r="C224" s="11">
        <f>MONTH(Table1[[#This Row],[Ngày]])</f>
        <v>1</v>
      </c>
      <c r="D224" s="11">
        <f t="shared" si="7"/>
        <v>1</v>
      </c>
      <c r="E224" s="11" t="s">
        <v>55</v>
      </c>
      <c r="F224" s="11" t="s">
        <v>6</v>
      </c>
      <c r="G224" s="11" t="s">
        <v>28</v>
      </c>
      <c r="H224" s="32">
        <v>32</v>
      </c>
      <c r="I224" s="38">
        <f t="shared" si="8"/>
        <v>4800000</v>
      </c>
      <c r="K224" s="11"/>
      <c r="L224" s="10"/>
      <c r="M224" s="11"/>
      <c r="N224" s="11"/>
      <c r="O224" s="11"/>
      <c r="P224" s="11"/>
      <c r="Q224" s="11"/>
      <c r="R224" s="32"/>
      <c r="S224" s="11"/>
      <c r="T224" s="10"/>
      <c r="U224" s="11"/>
      <c r="V224" s="11"/>
      <c r="W224" s="11"/>
      <c r="X224" s="11"/>
      <c r="Y224" s="11"/>
      <c r="Z224" s="32"/>
      <c r="AA224" s="38"/>
      <c r="AC224" s="11"/>
      <c r="AD224" s="32"/>
    </row>
    <row r="225" spans="1:30">
      <c r="A225" s="11" t="s">
        <v>294</v>
      </c>
      <c r="B225" s="10">
        <v>45685</v>
      </c>
      <c r="C225" s="11">
        <f>MONTH(Table1[[#This Row],[Ngày]])</f>
        <v>1</v>
      </c>
      <c r="D225" s="11">
        <f t="shared" si="7"/>
        <v>1</v>
      </c>
      <c r="E225" s="11" t="s">
        <v>59</v>
      </c>
      <c r="F225" s="11" t="s">
        <v>11</v>
      </c>
      <c r="G225" s="11" t="s">
        <v>27</v>
      </c>
      <c r="H225" s="32">
        <v>59</v>
      </c>
      <c r="I225" s="38">
        <f t="shared" si="8"/>
        <v>29500000</v>
      </c>
      <c r="K225" s="11"/>
      <c r="L225" s="10"/>
      <c r="M225" s="11"/>
      <c r="N225" s="11"/>
      <c r="O225" s="11"/>
      <c r="P225" s="11"/>
      <c r="Q225" s="11"/>
      <c r="R225" s="32"/>
      <c r="S225" s="11"/>
      <c r="T225" s="10"/>
      <c r="U225" s="11"/>
      <c r="V225" s="11"/>
      <c r="W225" s="11"/>
      <c r="X225" s="11"/>
      <c r="Y225" s="11"/>
      <c r="Z225" s="32"/>
      <c r="AA225" s="38"/>
      <c r="AC225" s="11"/>
      <c r="AD225" s="32"/>
    </row>
    <row r="226" spans="1:30">
      <c r="A226" s="11" t="s">
        <v>295</v>
      </c>
      <c r="B226" s="10">
        <v>45684</v>
      </c>
      <c r="C226" s="11">
        <f>MONTH(Table1[[#This Row],[Ngày]])</f>
        <v>1</v>
      </c>
      <c r="D226" s="11">
        <f t="shared" si="7"/>
        <v>1</v>
      </c>
      <c r="E226" s="11" t="s">
        <v>61</v>
      </c>
      <c r="F226" s="11" t="s">
        <v>9</v>
      </c>
      <c r="G226" s="11" t="s">
        <v>28</v>
      </c>
      <c r="H226" s="32">
        <v>75</v>
      </c>
      <c r="I226" s="38">
        <f t="shared" si="8"/>
        <v>26250000</v>
      </c>
      <c r="K226" s="11"/>
      <c r="L226" s="10"/>
      <c r="M226" s="11"/>
      <c r="N226" s="11"/>
      <c r="O226" s="11"/>
      <c r="P226" s="11"/>
      <c r="Q226" s="11"/>
      <c r="R226" s="32"/>
      <c r="S226" s="11"/>
      <c r="T226" s="10"/>
      <c r="U226" s="11"/>
      <c r="V226" s="11"/>
      <c r="W226" s="11"/>
      <c r="X226" s="11"/>
      <c r="Y226" s="11"/>
      <c r="Z226" s="32"/>
      <c r="AA226" s="38"/>
      <c r="AC226" s="11"/>
      <c r="AD226" s="32"/>
    </row>
    <row r="227" spans="1:30">
      <c r="A227" s="11" t="s">
        <v>296</v>
      </c>
      <c r="B227" s="10">
        <v>45713</v>
      </c>
      <c r="C227" s="11">
        <f>MONTH(Table1[[#This Row],[Ngày]])</f>
        <v>2</v>
      </c>
      <c r="D227" s="11">
        <f t="shared" si="7"/>
        <v>1</v>
      </c>
      <c r="E227" s="11" t="s">
        <v>55</v>
      </c>
      <c r="F227" s="11" t="s">
        <v>9</v>
      </c>
      <c r="G227" s="11" t="s">
        <v>27</v>
      </c>
      <c r="H227" s="32">
        <v>15</v>
      </c>
      <c r="I227" s="38">
        <f t="shared" si="8"/>
        <v>5250000</v>
      </c>
      <c r="K227" s="11"/>
      <c r="L227" s="10"/>
      <c r="M227" s="11"/>
      <c r="N227" s="11"/>
      <c r="O227" s="11"/>
      <c r="P227" s="11"/>
      <c r="Q227" s="11"/>
      <c r="R227" s="32"/>
      <c r="S227" s="11"/>
      <c r="T227" s="10"/>
      <c r="U227" s="11"/>
      <c r="V227" s="11"/>
      <c r="W227" s="11"/>
      <c r="X227" s="11"/>
      <c r="Y227" s="11"/>
      <c r="Z227" s="32"/>
      <c r="AA227" s="38"/>
      <c r="AC227" s="11"/>
      <c r="AD227" s="32"/>
    </row>
    <row r="228" spans="1:30">
      <c r="A228" s="11" t="s">
        <v>297</v>
      </c>
      <c r="B228" s="10">
        <v>45711</v>
      </c>
      <c r="C228" s="11">
        <f>MONTH(Table1[[#This Row],[Ngày]])</f>
        <v>2</v>
      </c>
      <c r="D228" s="11">
        <f t="shared" si="7"/>
        <v>1</v>
      </c>
      <c r="E228" s="11" t="s">
        <v>51</v>
      </c>
      <c r="F228" s="11" t="s">
        <v>9</v>
      </c>
      <c r="G228" s="11" t="s">
        <v>28</v>
      </c>
      <c r="H228" s="32">
        <v>53</v>
      </c>
      <c r="I228" s="38">
        <f t="shared" si="8"/>
        <v>18550000</v>
      </c>
      <c r="K228" s="11"/>
      <c r="L228" s="10"/>
      <c r="M228" s="11"/>
      <c r="N228" s="11"/>
      <c r="O228" s="11"/>
      <c r="P228" s="11"/>
      <c r="Q228" s="11"/>
      <c r="R228" s="32"/>
      <c r="S228" s="11"/>
      <c r="T228" s="10"/>
      <c r="U228" s="11"/>
      <c r="V228" s="11"/>
      <c r="W228" s="11"/>
      <c r="X228" s="11"/>
      <c r="Y228" s="11"/>
      <c r="Z228" s="32"/>
      <c r="AA228" s="38"/>
      <c r="AC228" s="11"/>
      <c r="AD228" s="32"/>
    </row>
    <row r="229" spans="1:30">
      <c r="A229" s="11" t="s">
        <v>298</v>
      </c>
      <c r="B229" s="10">
        <v>45665</v>
      </c>
      <c r="C229" s="11">
        <f>MONTH(Table1[[#This Row],[Ngày]])</f>
        <v>1</v>
      </c>
      <c r="D229" s="11">
        <f t="shared" si="7"/>
        <v>1</v>
      </c>
      <c r="E229" s="11" t="s">
        <v>61</v>
      </c>
      <c r="F229" s="11" t="s">
        <v>9</v>
      </c>
      <c r="G229" s="11" t="s">
        <v>28</v>
      </c>
      <c r="H229" s="32">
        <v>75</v>
      </c>
      <c r="I229" s="38">
        <f t="shared" si="8"/>
        <v>26250000</v>
      </c>
      <c r="K229" s="11"/>
      <c r="L229" s="10"/>
      <c r="M229" s="11"/>
      <c r="N229" s="11"/>
      <c r="O229" s="11"/>
      <c r="P229" s="11"/>
      <c r="Q229" s="11"/>
      <c r="R229" s="32"/>
      <c r="S229" s="11"/>
      <c r="T229" s="10"/>
      <c r="U229" s="11"/>
      <c r="V229" s="11"/>
      <c r="W229" s="11"/>
      <c r="X229" s="11"/>
      <c r="Y229" s="11"/>
      <c r="Z229" s="32"/>
      <c r="AA229" s="38"/>
      <c r="AC229" s="11"/>
      <c r="AD229" s="32"/>
    </row>
    <row r="230" spans="1:30">
      <c r="A230" s="11" t="s">
        <v>299</v>
      </c>
      <c r="B230" s="10">
        <v>45698</v>
      </c>
      <c r="C230" s="11">
        <f>MONTH(Table1[[#This Row],[Ngày]])</f>
        <v>2</v>
      </c>
      <c r="D230" s="11">
        <f t="shared" si="7"/>
        <v>1</v>
      </c>
      <c r="E230" s="11" t="s">
        <v>55</v>
      </c>
      <c r="F230" s="11" t="s">
        <v>9</v>
      </c>
      <c r="G230" s="11" t="s">
        <v>27</v>
      </c>
      <c r="H230" s="32">
        <v>60</v>
      </c>
      <c r="I230" s="38">
        <f t="shared" si="8"/>
        <v>21000000</v>
      </c>
      <c r="K230" s="11"/>
      <c r="L230" s="10"/>
      <c r="M230" s="11"/>
      <c r="N230" s="11"/>
      <c r="O230" s="11"/>
      <c r="P230" s="11"/>
      <c r="Q230" s="11"/>
      <c r="R230" s="32"/>
      <c r="S230" s="11"/>
      <c r="T230" s="10"/>
      <c r="U230" s="11"/>
      <c r="V230" s="11"/>
      <c r="W230" s="11"/>
      <c r="X230" s="11"/>
      <c r="Y230" s="11"/>
      <c r="Z230" s="32"/>
      <c r="AA230" s="38"/>
      <c r="AC230" s="11"/>
      <c r="AD230" s="32"/>
    </row>
    <row r="231" spans="1:30">
      <c r="A231" s="11" t="s">
        <v>300</v>
      </c>
      <c r="B231" s="10">
        <v>45709</v>
      </c>
      <c r="C231" s="11">
        <f>MONTH(Table1[[#This Row],[Ngày]])</f>
        <v>2</v>
      </c>
      <c r="D231" s="11">
        <f t="shared" si="7"/>
        <v>1</v>
      </c>
      <c r="E231" s="11" t="s">
        <v>61</v>
      </c>
      <c r="F231" s="11" t="s">
        <v>6</v>
      </c>
      <c r="G231" s="11" t="s">
        <v>27</v>
      </c>
      <c r="H231" s="32">
        <v>70</v>
      </c>
      <c r="I231" s="38">
        <f t="shared" si="8"/>
        <v>10500000</v>
      </c>
      <c r="K231" s="11"/>
      <c r="L231" s="10"/>
      <c r="M231" s="11"/>
      <c r="N231" s="11"/>
      <c r="O231" s="11"/>
      <c r="P231" s="11"/>
      <c r="Q231" s="11"/>
      <c r="R231" s="32"/>
      <c r="S231" s="11"/>
      <c r="T231" s="10"/>
      <c r="U231" s="11"/>
      <c r="V231" s="11"/>
      <c r="W231" s="11"/>
      <c r="X231" s="11"/>
      <c r="Y231" s="11"/>
      <c r="Z231" s="32"/>
      <c r="AA231" s="38"/>
      <c r="AC231" s="11"/>
      <c r="AD231" s="32"/>
    </row>
    <row r="232" spans="1:30">
      <c r="A232" s="11" t="s">
        <v>301</v>
      </c>
      <c r="B232" s="10">
        <v>45663</v>
      </c>
      <c r="C232" s="11">
        <f>MONTH(Table1[[#This Row],[Ngày]])</f>
        <v>1</v>
      </c>
      <c r="D232" s="11">
        <f t="shared" si="7"/>
        <v>1</v>
      </c>
      <c r="E232" s="11" t="s">
        <v>59</v>
      </c>
      <c r="F232" s="11" t="s">
        <v>6</v>
      </c>
      <c r="G232" s="11" t="s">
        <v>27</v>
      </c>
      <c r="H232" s="32">
        <v>34</v>
      </c>
      <c r="I232" s="38">
        <f t="shared" si="8"/>
        <v>5100000</v>
      </c>
      <c r="K232" s="11"/>
      <c r="L232" s="10"/>
      <c r="M232" s="11"/>
      <c r="N232" s="11"/>
      <c r="O232" s="11"/>
      <c r="P232" s="11"/>
      <c r="Q232" s="11"/>
      <c r="R232" s="32"/>
      <c r="S232" s="11"/>
      <c r="T232" s="10"/>
      <c r="U232" s="11"/>
      <c r="V232" s="11"/>
      <c r="W232" s="11"/>
      <c r="X232" s="11"/>
      <c r="Y232" s="11"/>
      <c r="Z232" s="32"/>
      <c r="AA232" s="38"/>
      <c r="AC232" s="11"/>
      <c r="AD232" s="32"/>
    </row>
    <row r="233" spans="1:30">
      <c r="A233" s="11" t="s">
        <v>302</v>
      </c>
      <c r="B233" s="10">
        <v>45669</v>
      </c>
      <c r="C233" s="11">
        <f>MONTH(Table1[[#This Row],[Ngày]])</f>
        <v>1</v>
      </c>
      <c r="D233" s="11">
        <f t="shared" si="7"/>
        <v>1</v>
      </c>
      <c r="E233" s="11" t="s">
        <v>55</v>
      </c>
      <c r="F233" s="11" t="s">
        <v>6</v>
      </c>
      <c r="G233" s="11" t="s">
        <v>27</v>
      </c>
      <c r="H233" s="32">
        <v>35</v>
      </c>
      <c r="I233" s="38">
        <f t="shared" si="8"/>
        <v>5250000</v>
      </c>
      <c r="K233" s="11"/>
      <c r="L233" s="10"/>
      <c r="M233" s="11"/>
      <c r="N233" s="11"/>
      <c r="O233" s="11"/>
      <c r="P233" s="11"/>
      <c r="Q233" s="11"/>
      <c r="R233" s="32"/>
      <c r="S233" s="11"/>
      <c r="T233" s="10"/>
      <c r="U233" s="11"/>
      <c r="V233" s="11"/>
      <c r="W233" s="11"/>
      <c r="X233" s="11"/>
      <c r="Y233" s="11"/>
      <c r="Z233" s="32"/>
      <c r="AA233" s="38"/>
      <c r="AC233" s="11"/>
      <c r="AD233" s="32"/>
    </row>
    <row r="234" spans="1:30">
      <c r="A234" s="11" t="s">
        <v>303</v>
      </c>
      <c r="B234" s="10">
        <v>45709</v>
      </c>
      <c r="C234" s="11">
        <f>MONTH(Table1[[#This Row],[Ngày]])</f>
        <v>2</v>
      </c>
      <c r="D234" s="11">
        <f t="shared" si="7"/>
        <v>1</v>
      </c>
      <c r="E234" s="11" t="s">
        <v>51</v>
      </c>
      <c r="F234" s="11" t="s">
        <v>6</v>
      </c>
      <c r="G234" s="11" t="s">
        <v>28</v>
      </c>
      <c r="H234" s="32">
        <v>100</v>
      </c>
      <c r="I234" s="38">
        <f t="shared" si="8"/>
        <v>15000000</v>
      </c>
      <c r="K234" s="11"/>
      <c r="L234" s="10"/>
      <c r="M234" s="11"/>
      <c r="N234" s="11"/>
      <c r="O234" s="11"/>
      <c r="P234" s="11"/>
      <c r="Q234" s="11"/>
      <c r="R234" s="32"/>
      <c r="S234" s="11"/>
      <c r="T234" s="10"/>
      <c r="U234" s="11"/>
      <c r="V234" s="11"/>
      <c r="W234" s="11"/>
      <c r="X234" s="11"/>
      <c r="Y234" s="11"/>
      <c r="Z234" s="32"/>
      <c r="AA234" s="38"/>
      <c r="AC234" s="11"/>
      <c r="AD234" s="32"/>
    </row>
    <row r="235" spans="1:30">
      <c r="A235" s="11" t="s">
        <v>304</v>
      </c>
      <c r="B235" s="10">
        <v>45716</v>
      </c>
      <c r="C235" s="11">
        <f>MONTH(Table1[[#This Row],[Ngày]])</f>
        <v>2</v>
      </c>
      <c r="D235" s="11">
        <f t="shared" si="7"/>
        <v>1</v>
      </c>
      <c r="E235" s="11" t="s">
        <v>61</v>
      </c>
      <c r="F235" s="11" t="s">
        <v>6</v>
      </c>
      <c r="G235" s="11" t="s">
        <v>28</v>
      </c>
      <c r="H235" s="32">
        <v>66</v>
      </c>
      <c r="I235" s="38">
        <f t="shared" si="8"/>
        <v>9900000</v>
      </c>
      <c r="K235" s="11"/>
      <c r="L235" s="10"/>
      <c r="M235" s="11"/>
      <c r="N235" s="11"/>
      <c r="O235" s="11"/>
      <c r="P235" s="11"/>
      <c r="Q235" s="11"/>
      <c r="R235" s="32"/>
      <c r="S235" s="11"/>
      <c r="T235" s="10"/>
      <c r="U235" s="11"/>
      <c r="V235" s="11"/>
      <c r="W235" s="11"/>
      <c r="X235" s="11"/>
      <c r="Y235" s="11"/>
      <c r="Z235" s="32"/>
      <c r="AA235" s="38"/>
      <c r="AC235" s="11"/>
      <c r="AD235" s="32"/>
    </row>
    <row r="236" spans="1:30">
      <c r="A236" s="11" t="s">
        <v>305</v>
      </c>
      <c r="B236" s="10">
        <v>45717</v>
      </c>
      <c r="C236" s="11">
        <f>MONTH(Table1[[#This Row],[Ngày]])</f>
        <v>3</v>
      </c>
      <c r="D236" s="11">
        <f t="shared" si="7"/>
        <v>1</v>
      </c>
      <c r="E236" s="11" t="s">
        <v>64</v>
      </c>
      <c r="F236" s="11" t="s">
        <v>6</v>
      </c>
      <c r="G236" s="11" t="s">
        <v>27</v>
      </c>
      <c r="H236" s="32">
        <v>63</v>
      </c>
      <c r="I236" s="38">
        <f t="shared" si="8"/>
        <v>9450000</v>
      </c>
      <c r="K236" s="11"/>
      <c r="L236" s="10"/>
      <c r="M236" s="11"/>
      <c r="N236" s="11"/>
      <c r="O236" s="11"/>
      <c r="P236" s="11"/>
      <c r="Q236" s="11"/>
      <c r="R236" s="32"/>
      <c r="S236" s="11"/>
      <c r="T236" s="10"/>
      <c r="U236" s="11"/>
      <c r="V236" s="11"/>
      <c r="W236" s="11"/>
      <c r="X236" s="11"/>
      <c r="Y236" s="11"/>
      <c r="Z236" s="32"/>
      <c r="AA236" s="38"/>
      <c r="AC236" s="11"/>
      <c r="AD236" s="32"/>
    </row>
    <row r="237" spans="1:30">
      <c r="A237" s="11" t="s">
        <v>306</v>
      </c>
      <c r="B237" s="10">
        <v>45684</v>
      </c>
      <c r="C237" s="11">
        <f>MONTH(Table1[[#This Row],[Ngày]])</f>
        <v>1</v>
      </c>
      <c r="D237" s="11">
        <f t="shared" si="7"/>
        <v>1</v>
      </c>
      <c r="E237" s="11" t="s">
        <v>61</v>
      </c>
      <c r="F237" s="11" t="s">
        <v>6</v>
      </c>
      <c r="G237" s="11" t="s">
        <v>28</v>
      </c>
      <c r="H237" s="32">
        <v>60</v>
      </c>
      <c r="I237" s="38">
        <f t="shared" si="8"/>
        <v>9000000</v>
      </c>
      <c r="K237" s="11"/>
      <c r="L237" s="10"/>
      <c r="M237" s="11"/>
      <c r="N237" s="11"/>
      <c r="O237" s="11"/>
      <c r="P237" s="11"/>
      <c r="Q237" s="11"/>
      <c r="R237" s="32"/>
      <c r="S237" s="11"/>
      <c r="T237" s="10"/>
      <c r="U237" s="11"/>
      <c r="V237" s="11"/>
      <c r="W237" s="11"/>
      <c r="X237" s="11"/>
      <c r="Y237" s="11"/>
      <c r="Z237" s="32"/>
      <c r="AA237" s="38"/>
      <c r="AC237" s="11"/>
      <c r="AD237" s="32"/>
    </row>
    <row r="238" spans="1:30">
      <c r="A238" s="11" t="s">
        <v>307</v>
      </c>
      <c r="B238" s="10">
        <v>45718</v>
      </c>
      <c r="C238" s="11">
        <f>MONTH(Table1[[#This Row],[Ngày]])</f>
        <v>3</v>
      </c>
      <c r="D238" s="11">
        <f t="shared" si="7"/>
        <v>1</v>
      </c>
      <c r="E238" s="11" t="s">
        <v>61</v>
      </c>
      <c r="F238" s="11" t="s">
        <v>11</v>
      </c>
      <c r="G238" s="11" t="s">
        <v>27</v>
      </c>
      <c r="H238" s="32">
        <v>52</v>
      </c>
      <c r="I238" s="38">
        <f t="shared" si="8"/>
        <v>26000000</v>
      </c>
      <c r="K238" s="11"/>
      <c r="L238" s="10"/>
      <c r="M238" s="11"/>
      <c r="N238" s="11"/>
      <c r="O238" s="11"/>
      <c r="P238" s="11"/>
      <c r="Q238" s="11"/>
      <c r="R238" s="32"/>
      <c r="S238" s="11"/>
      <c r="T238" s="10"/>
      <c r="U238" s="11"/>
      <c r="V238" s="11"/>
      <c r="W238" s="11"/>
      <c r="X238" s="11"/>
      <c r="Y238" s="11"/>
      <c r="Z238" s="32"/>
      <c r="AA238" s="38"/>
      <c r="AC238" s="11"/>
      <c r="AD238" s="32"/>
    </row>
    <row r="239" spans="1:30">
      <c r="A239" s="11" t="s">
        <v>308</v>
      </c>
      <c r="B239" s="10">
        <v>45712</v>
      </c>
      <c r="C239" s="11">
        <f>MONTH(Table1[[#This Row],[Ngày]])</f>
        <v>2</v>
      </c>
      <c r="D239" s="11">
        <f t="shared" si="7"/>
        <v>1</v>
      </c>
      <c r="E239" s="11" t="s">
        <v>55</v>
      </c>
      <c r="F239" s="11" t="s">
        <v>9</v>
      </c>
      <c r="G239" s="11" t="s">
        <v>27</v>
      </c>
      <c r="H239" s="32">
        <v>21</v>
      </c>
      <c r="I239" s="38">
        <f t="shared" si="8"/>
        <v>7350000</v>
      </c>
      <c r="K239" s="11"/>
      <c r="L239" s="10"/>
      <c r="M239" s="11"/>
      <c r="N239" s="11"/>
      <c r="O239" s="11"/>
      <c r="P239" s="11"/>
      <c r="Q239" s="11"/>
      <c r="R239" s="32"/>
      <c r="S239" s="11"/>
      <c r="T239" s="10"/>
      <c r="U239" s="11"/>
      <c r="V239" s="11"/>
      <c r="W239" s="11"/>
      <c r="X239" s="11"/>
      <c r="Y239" s="11"/>
      <c r="Z239" s="32"/>
      <c r="AA239" s="38"/>
      <c r="AC239" s="11"/>
      <c r="AD239" s="32"/>
    </row>
    <row r="240" spans="1:30">
      <c r="A240" s="11" t="s">
        <v>309</v>
      </c>
      <c r="B240" s="10">
        <v>45669</v>
      </c>
      <c r="C240" s="11">
        <f>MONTH(Table1[[#This Row],[Ngày]])</f>
        <v>1</v>
      </c>
      <c r="D240" s="11">
        <f t="shared" si="7"/>
        <v>1</v>
      </c>
      <c r="E240" s="11" t="s">
        <v>51</v>
      </c>
      <c r="F240" s="11" t="s">
        <v>11</v>
      </c>
      <c r="G240" s="11" t="s">
        <v>28</v>
      </c>
      <c r="H240" s="32">
        <v>67</v>
      </c>
      <c r="I240" s="38">
        <f t="shared" si="8"/>
        <v>33500000</v>
      </c>
      <c r="K240" s="11"/>
      <c r="L240" s="10"/>
      <c r="M240" s="11"/>
      <c r="N240" s="11"/>
      <c r="O240" s="11"/>
      <c r="P240" s="11"/>
      <c r="Q240" s="11"/>
      <c r="R240" s="32"/>
      <c r="S240" s="11"/>
      <c r="T240" s="10"/>
      <c r="U240" s="11"/>
      <c r="V240" s="11"/>
      <c r="W240" s="11"/>
      <c r="X240" s="11"/>
      <c r="Y240" s="11"/>
      <c r="Z240" s="32"/>
      <c r="AA240" s="38"/>
      <c r="AC240" s="11"/>
      <c r="AD240" s="32"/>
    </row>
    <row r="241" spans="1:30">
      <c r="A241" s="11" t="s">
        <v>310</v>
      </c>
      <c r="B241" s="10">
        <v>45710</v>
      </c>
      <c r="C241" s="11">
        <f>MONTH(Table1[[#This Row],[Ngày]])</f>
        <v>2</v>
      </c>
      <c r="D241" s="11">
        <f t="shared" si="7"/>
        <v>1</v>
      </c>
      <c r="E241" s="11" t="s">
        <v>64</v>
      </c>
      <c r="F241" s="11" t="s">
        <v>11</v>
      </c>
      <c r="G241" s="11" t="s">
        <v>27</v>
      </c>
      <c r="H241" s="32">
        <v>48</v>
      </c>
      <c r="I241" s="38">
        <f t="shared" si="8"/>
        <v>24000000</v>
      </c>
      <c r="K241" s="11"/>
      <c r="L241" s="10"/>
      <c r="M241" s="11"/>
      <c r="N241" s="11"/>
      <c r="O241" s="11"/>
      <c r="P241" s="11"/>
      <c r="Q241" s="11"/>
      <c r="R241" s="32"/>
      <c r="S241" s="11"/>
      <c r="T241" s="10"/>
      <c r="U241" s="11"/>
      <c r="V241" s="11"/>
      <c r="W241" s="11"/>
      <c r="X241" s="11"/>
      <c r="Y241" s="11"/>
      <c r="Z241" s="32"/>
      <c r="AA241" s="38"/>
      <c r="AC241" s="11"/>
      <c r="AD241" s="32"/>
    </row>
    <row r="242" spans="1:30">
      <c r="A242" s="11" t="s">
        <v>311</v>
      </c>
      <c r="B242" s="10">
        <v>45689</v>
      </c>
      <c r="C242" s="11">
        <f>MONTH(Table1[[#This Row],[Ngày]])</f>
        <v>2</v>
      </c>
      <c r="D242" s="11">
        <f t="shared" si="7"/>
        <v>1</v>
      </c>
      <c r="E242" s="11" t="s">
        <v>59</v>
      </c>
      <c r="F242" s="11" t="s">
        <v>6</v>
      </c>
      <c r="G242" s="11" t="s">
        <v>27</v>
      </c>
      <c r="H242" s="32">
        <v>66</v>
      </c>
      <c r="I242" s="38">
        <f t="shared" si="8"/>
        <v>9900000</v>
      </c>
      <c r="K242" s="11"/>
      <c r="L242" s="10"/>
      <c r="M242" s="11"/>
      <c r="N242" s="11"/>
      <c r="O242" s="11"/>
      <c r="P242" s="11"/>
      <c r="Q242" s="11"/>
      <c r="R242" s="32"/>
      <c r="S242" s="11"/>
      <c r="T242" s="10"/>
      <c r="U242" s="11"/>
      <c r="V242" s="11"/>
      <c r="W242" s="11"/>
      <c r="X242" s="11"/>
      <c r="Y242" s="11"/>
      <c r="Z242" s="32"/>
      <c r="AA242" s="38"/>
      <c r="AC242" s="11"/>
      <c r="AD242" s="32"/>
    </row>
    <row r="243" spans="1:30">
      <c r="A243" s="11" t="s">
        <v>312</v>
      </c>
      <c r="B243" s="10">
        <v>45705</v>
      </c>
      <c r="C243" s="11">
        <f>MONTH(Table1[[#This Row],[Ngày]])</f>
        <v>2</v>
      </c>
      <c r="D243" s="11">
        <f t="shared" si="7"/>
        <v>1</v>
      </c>
      <c r="E243" s="11" t="s">
        <v>55</v>
      </c>
      <c r="F243" s="11" t="s">
        <v>11</v>
      </c>
      <c r="G243" s="11" t="s">
        <v>28</v>
      </c>
      <c r="H243" s="32">
        <v>58</v>
      </c>
      <c r="I243" s="38">
        <f t="shared" si="8"/>
        <v>29000000</v>
      </c>
      <c r="K243" s="11"/>
      <c r="L243" s="10"/>
      <c r="M243" s="11"/>
      <c r="N243" s="11"/>
      <c r="O243" s="11"/>
      <c r="P243" s="11"/>
      <c r="Q243" s="11"/>
      <c r="R243" s="32"/>
      <c r="S243" s="11"/>
      <c r="T243" s="10"/>
      <c r="U243" s="11"/>
      <c r="V243" s="11"/>
      <c r="W243" s="11"/>
      <c r="X243" s="11"/>
      <c r="Y243" s="11"/>
      <c r="Z243" s="32"/>
      <c r="AA243" s="38"/>
      <c r="AC243" s="11"/>
      <c r="AD243" s="32"/>
    </row>
    <row r="244" spans="1:30">
      <c r="A244" s="11" t="s">
        <v>313</v>
      </c>
      <c r="B244" s="10">
        <v>45660</v>
      </c>
      <c r="C244" s="11">
        <f>MONTH(Table1[[#This Row],[Ngày]])</f>
        <v>1</v>
      </c>
      <c r="D244" s="11">
        <f t="shared" si="7"/>
        <v>1</v>
      </c>
      <c r="E244" s="11" t="s">
        <v>64</v>
      </c>
      <c r="F244" s="11" t="s">
        <v>6</v>
      </c>
      <c r="G244" s="11" t="s">
        <v>27</v>
      </c>
      <c r="H244" s="32">
        <v>100</v>
      </c>
      <c r="I244" s="38">
        <f t="shared" si="8"/>
        <v>15000000</v>
      </c>
      <c r="K244" s="11"/>
      <c r="L244" s="10"/>
      <c r="M244" s="11"/>
      <c r="N244" s="11"/>
      <c r="O244" s="11"/>
      <c r="P244" s="11"/>
      <c r="Q244" s="11"/>
      <c r="R244" s="32"/>
      <c r="S244" s="11"/>
      <c r="T244" s="10"/>
      <c r="U244" s="11"/>
      <c r="V244" s="11"/>
      <c r="W244" s="11"/>
      <c r="X244" s="11"/>
      <c r="Y244" s="11"/>
      <c r="Z244" s="32"/>
      <c r="AA244" s="38"/>
      <c r="AC244" s="11"/>
      <c r="AD244" s="32"/>
    </row>
    <row r="245" spans="1:30">
      <c r="A245" s="11" t="s">
        <v>314</v>
      </c>
      <c r="B245" s="10">
        <v>45707</v>
      </c>
      <c r="C245" s="11">
        <f>MONTH(Table1[[#This Row],[Ngày]])</f>
        <v>2</v>
      </c>
      <c r="D245" s="11">
        <f t="shared" si="7"/>
        <v>1</v>
      </c>
      <c r="E245" s="11" t="s">
        <v>61</v>
      </c>
      <c r="F245" s="11" t="s">
        <v>9</v>
      </c>
      <c r="G245" s="11" t="s">
        <v>28</v>
      </c>
      <c r="H245" s="32">
        <v>10</v>
      </c>
      <c r="I245" s="38">
        <f t="shared" si="8"/>
        <v>3500000</v>
      </c>
      <c r="K245" s="11"/>
      <c r="L245" s="10"/>
      <c r="M245" s="11"/>
      <c r="N245" s="11"/>
      <c r="O245" s="11"/>
      <c r="P245" s="11"/>
      <c r="Q245" s="11"/>
      <c r="R245" s="32"/>
      <c r="S245" s="11"/>
      <c r="T245" s="10"/>
      <c r="U245" s="11"/>
      <c r="V245" s="11"/>
      <c r="W245" s="11"/>
      <c r="X245" s="11"/>
      <c r="Y245" s="11"/>
      <c r="Z245" s="32"/>
      <c r="AA245" s="38"/>
      <c r="AC245" s="11"/>
      <c r="AD245" s="32"/>
    </row>
    <row r="246" spans="1:30">
      <c r="A246" s="11" t="s">
        <v>315</v>
      </c>
      <c r="B246" s="10">
        <v>45717</v>
      </c>
      <c r="C246" s="11">
        <f>MONTH(Table1[[#This Row],[Ngày]])</f>
        <v>3</v>
      </c>
      <c r="D246" s="11">
        <f t="shared" si="7"/>
        <v>1</v>
      </c>
      <c r="E246" s="11" t="s">
        <v>64</v>
      </c>
      <c r="F246" s="11" t="s">
        <v>11</v>
      </c>
      <c r="G246" s="11" t="s">
        <v>28</v>
      </c>
      <c r="H246" s="32">
        <v>63</v>
      </c>
      <c r="I246" s="38">
        <f t="shared" si="8"/>
        <v>31500000</v>
      </c>
      <c r="K246" s="11"/>
      <c r="L246" s="10"/>
      <c r="M246" s="11"/>
      <c r="N246" s="11"/>
      <c r="O246" s="11"/>
      <c r="P246" s="11"/>
      <c r="Q246" s="11"/>
      <c r="R246" s="32"/>
      <c r="S246" s="11"/>
      <c r="T246" s="10"/>
      <c r="U246" s="11"/>
      <c r="V246" s="11"/>
      <c r="W246" s="11"/>
      <c r="X246" s="11"/>
      <c r="Y246" s="11"/>
      <c r="Z246" s="32"/>
      <c r="AA246" s="38"/>
      <c r="AC246" s="11"/>
      <c r="AD246" s="32"/>
    </row>
    <row r="247" spans="1:30">
      <c r="A247" s="11" t="s">
        <v>316</v>
      </c>
      <c r="B247" s="10">
        <v>45664</v>
      </c>
      <c r="C247" s="11">
        <f>MONTH(Table1[[#This Row],[Ngày]])</f>
        <v>1</v>
      </c>
      <c r="D247" s="11">
        <f t="shared" si="7"/>
        <v>1</v>
      </c>
      <c r="E247" s="11" t="s">
        <v>51</v>
      </c>
      <c r="F247" s="11" t="s">
        <v>9</v>
      </c>
      <c r="G247" s="11" t="s">
        <v>27</v>
      </c>
      <c r="H247" s="32">
        <v>20</v>
      </c>
      <c r="I247" s="38">
        <f t="shared" si="8"/>
        <v>7000000</v>
      </c>
      <c r="K247" s="11"/>
      <c r="L247" s="10"/>
      <c r="M247" s="11"/>
      <c r="N247" s="11"/>
      <c r="O247" s="11"/>
      <c r="P247" s="11"/>
      <c r="Q247" s="11"/>
      <c r="R247" s="32"/>
      <c r="S247" s="11"/>
      <c r="T247" s="10"/>
      <c r="U247" s="11"/>
      <c r="V247" s="11"/>
      <c r="W247" s="11"/>
      <c r="X247" s="11"/>
      <c r="Y247" s="11"/>
      <c r="Z247" s="32"/>
      <c r="AA247" s="38"/>
      <c r="AC247" s="11"/>
      <c r="AD247" s="32"/>
    </row>
    <row r="248" spans="1:30">
      <c r="A248" s="11" t="s">
        <v>317</v>
      </c>
      <c r="B248" s="10">
        <v>45698</v>
      </c>
      <c r="C248" s="11">
        <f>MONTH(Table1[[#This Row],[Ngày]])</f>
        <v>2</v>
      </c>
      <c r="D248" s="11">
        <f t="shared" si="7"/>
        <v>1</v>
      </c>
      <c r="E248" s="11" t="s">
        <v>61</v>
      </c>
      <c r="F248" s="11" t="s">
        <v>11</v>
      </c>
      <c r="G248" s="11" t="s">
        <v>28</v>
      </c>
      <c r="H248" s="32">
        <v>62</v>
      </c>
      <c r="I248" s="38">
        <f t="shared" si="8"/>
        <v>31000000</v>
      </c>
      <c r="K248" s="11"/>
      <c r="L248" s="10"/>
      <c r="M248" s="11"/>
      <c r="N248" s="11"/>
      <c r="O248" s="11"/>
      <c r="P248" s="11"/>
      <c r="Q248" s="11"/>
      <c r="R248" s="32"/>
      <c r="S248" s="11"/>
      <c r="T248" s="10"/>
      <c r="U248" s="11"/>
      <c r="V248" s="11"/>
      <c r="W248" s="11"/>
      <c r="X248" s="11"/>
      <c r="Y248" s="11"/>
      <c r="Z248" s="32"/>
      <c r="AA248" s="38"/>
    </row>
    <row r="249" spans="1:30">
      <c r="A249" s="11" t="s">
        <v>318</v>
      </c>
      <c r="B249" s="10">
        <v>45714</v>
      </c>
      <c r="C249" s="11">
        <f>MONTH(Table1[[#This Row],[Ngày]])</f>
        <v>2</v>
      </c>
      <c r="D249" s="11">
        <f t="shared" si="7"/>
        <v>1</v>
      </c>
      <c r="E249" s="11" t="s">
        <v>55</v>
      </c>
      <c r="F249" s="11" t="s">
        <v>9</v>
      </c>
      <c r="G249" s="11" t="s">
        <v>27</v>
      </c>
      <c r="H249" s="32">
        <v>43</v>
      </c>
      <c r="I249" s="38">
        <f t="shared" si="8"/>
        <v>15050000</v>
      </c>
      <c r="K249" s="11"/>
      <c r="L249" s="10"/>
      <c r="M249" s="11"/>
      <c r="N249" s="11"/>
      <c r="O249" s="11"/>
      <c r="P249" s="11"/>
      <c r="Q249" s="11"/>
      <c r="R249" s="32"/>
      <c r="S249" s="11"/>
      <c r="T249" s="10"/>
      <c r="U249" s="11"/>
      <c r="V249" s="11"/>
      <c r="W249" s="11"/>
      <c r="X249" s="11"/>
      <c r="Y249" s="11"/>
      <c r="Z249" s="32"/>
      <c r="AA249" s="38"/>
    </row>
    <row r="250" spans="1:30">
      <c r="A250" s="11" t="s">
        <v>319</v>
      </c>
      <c r="B250" s="10">
        <v>45671</v>
      </c>
      <c r="C250" s="11">
        <f>MONTH(Table1[[#This Row],[Ngày]])</f>
        <v>1</v>
      </c>
      <c r="D250" s="11">
        <f t="shared" si="7"/>
        <v>1</v>
      </c>
      <c r="E250" s="11" t="s">
        <v>55</v>
      </c>
      <c r="F250" s="11" t="s">
        <v>6</v>
      </c>
      <c r="G250" s="11" t="s">
        <v>27</v>
      </c>
      <c r="H250" s="32">
        <v>70</v>
      </c>
      <c r="I250" s="38">
        <f t="shared" si="8"/>
        <v>10500000</v>
      </c>
      <c r="K250" s="11"/>
      <c r="L250" s="10"/>
      <c r="M250" s="11"/>
      <c r="N250" s="11"/>
      <c r="O250" s="11"/>
      <c r="P250" s="11"/>
      <c r="Q250" s="11"/>
      <c r="R250" s="32"/>
      <c r="U250" s="11"/>
      <c r="V250" s="3"/>
      <c r="W250" s="3"/>
      <c r="X250" s="3"/>
      <c r="Y250" s="3"/>
      <c r="Z250" s="3"/>
      <c r="AA250" s="3"/>
    </row>
    <row r="251" spans="1:30">
      <c r="A251" s="11" t="s">
        <v>320</v>
      </c>
      <c r="B251" s="10">
        <v>45704</v>
      </c>
      <c r="C251" s="11">
        <f>MONTH(Table1[[#This Row],[Ngày]])</f>
        <v>2</v>
      </c>
      <c r="D251" s="11">
        <f t="shared" si="7"/>
        <v>1</v>
      </c>
      <c r="E251" s="11" t="s">
        <v>51</v>
      </c>
      <c r="F251" s="11" t="s">
        <v>9</v>
      </c>
      <c r="G251" s="11" t="s">
        <v>28</v>
      </c>
      <c r="H251" s="32">
        <v>29</v>
      </c>
      <c r="I251" s="38">
        <f t="shared" si="8"/>
        <v>10150000</v>
      </c>
      <c r="K251" s="11"/>
      <c r="L251" s="10"/>
      <c r="M251" s="11"/>
      <c r="N251" s="11"/>
      <c r="O251" s="11"/>
      <c r="P251" s="11"/>
      <c r="Q251" s="11"/>
      <c r="R251" s="32"/>
      <c r="U251" s="11"/>
      <c r="V251" s="3"/>
      <c r="W251" s="3"/>
      <c r="X251" s="3"/>
      <c r="Y251" s="3"/>
      <c r="Z251" s="3"/>
      <c r="AA251" s="3"/>
    </row>
    <row r="252" spans="1:30">
      <c r="A252" s="11" t="s">
        <v>321</v>
      </c>
      <c r="B252" s="10">
        <v>45686</v>
      </c>
      <c r="C252" s="11">
        <f>MONTH(Table1[[#This Row],[Ngày]])</f>
        <v>1</v>
      </c>
      <c r="D252" s="11">
        <f t="shared" si="7"/>
        <v>1</v>
      </c>
      <c r="E252" s="11" t="s">
        <v>55</v>
      </c>
      <c r="F252" s="11" t="s">
        <v>9</v>
      </c>
      <c r="G252" s="11" t="s">
        <v>28</v>
      </c>
      <c r="H252" s="32">
        <v>56</v>
      </c>
      <c r="I252" s="38">
        <f t="shared" si="8"/>
        <v>19600000</v>
      </c>
      <c r="K252" s="11"/>
      <c r="L252" s="10"/>
      <c r="M252" s="11"/>
      <c r="N252" s="11"/>
      <c r="O252" s="11"/>
      <c r="P252" s="11"/>
      <c r="Q252" s="11"/>
      <c r="R252" s="32"/>
      <c r="U252" s="11"/>
      <c r="V252" s="3"/>
      <c r="W252" s="3"/>
      <c r="X252" s="3"/>
      <c r="Y252" s="3"/>
      <c r="Z252" s="3"/>
      <c r="AA252" s="3"/>
    </row>
    <row r="253" spans="1:30">
      <c r="A253" s="11" t="s">
        <v>322</v>
      </c>
      <c r="B253" s="10">
        <v>45700</v>
      </c>
      <c r="C253" s="11">
        <f>MONTH(Table1[[#This Row],[Ngày]])</f>
        <v>2</v>
      </c>
      <c r="D253" s="11">
        <f t="shared" si="7"/>
        <v>1</v>
      </c>
      <c r="E253" s="11" t="s">
        <v>61</v>
      </c>
      <c r="F253" s="11" t="s">
        <v>9</v>
      </c>
      <c r="G253" s="11" t="s">
        <v>27</v>
      </c>
      <c r="H253" s="32">
        <v>77</v>
      </c>
      <c r="I253" s="38">
        <f t="shared" si="8"/>
        <v>26950000</v>
      </c>
      <c r="K253" s="11"/>
      <c r="L253" s="10"/>
      <c r="M253" s="11"/>
      <c r="N253" s="11"/>
      <c r="O253" s="11"/>
      <c r="P253" s="11"/>
      <c r="Q253" s="11"/>
      <c r="R253" s="32"/>
      <c r="U253" s="11"/>
      <c r="V253" s="3"/>
      <c r="W253" s="3"/>
      <c r="X253" s="3"/>
      <c r="Y253" s="3"/>
      <c r="Z253" s="3"/>
      <c r="AA253" s="3"/>
    </row>
    <row r="254" spans="1:30">
      <c r="A254" s="11" t="s">
        <v>323</v>
      </c>
      <c r="B254" s="10">
        <v>45664</v>
      </c>
      <c r="C254" s="11">
        <f>MONTH(Table1[[#This Row],[Ngày]])</f>
        <v>1</v>
      </c>
      <c r="D254" s="11">
        <f t="shared" si="7"/>
        <v>1</v>
      </c>
      <c r="E254" s="11" t="s">
        <v>61</v>
      </c>
      <c r="F254" s="11" t="s">
        <v>11</v>
      </c>
      <c r="G254" s="11" t="s">
        <v>28</v>
      </c>
      <c r="H254" s="32">
        <v>56</v>
      </c>
      <c r="I254" s="38">
        <f t="shared" si="8"/>
        <v>28000000</v>
      </c>
      <c r="K254" s="11"/>
      <c r="L254" s="10"/>
      <c r="M254" s="11"/>
      <c r="N254" s="11"/>
      <c r="O254" s="11"/>
      <c r="P254" s="11"/>
      <c r="Q254" s="11"/>
      <c r="R254" s="32"/>
      <c r="U254" s="11"/>
      <c r="V254" s="3"/>
      <c r="W254" s="3"/>
      <c r="X254" s="3"/>
      <c r="Y254" s="3"/>
      <c r="Z254" s="3"/>
      <c r="AA254" s="3"/>
    </row>
    <row r="255" spans="1:30">
      <c r="A255" s="11" t="s">
        <v>324</v>
      </c>
      <c r="B255" s="10">
        <v>45704</v>
      </c>
      <c r="C255" s="11">
        <f>MONTH(Table1[[#This Row],[Ngày]])</f>
        <v>2</v>
      </c>
      <c r="D255" s="11">
        <f t="shared" si="7"/>
        <v>1</v>
      </c>
      <c r="E255" s="11" t="s">
        <v>64</v>
      </c>
      <c r="F255" s="11" t="s">
        <v>6</v>
      </c>
      <c r="G255" s="11" t="s">
        <v>27</v>
      </c>
      <c r="H255" s="32">
        <v>41</v>
      </c>
      <c r="I255" s="38">
        <f t="shared" si="8"/>
        <v>6150000</v>
      </c>
      <c r="K255" s="11"/>
      <c r="L255" s="10"/>
      <c r="M255" s="11"/>
      <c r="N255" s="11"/>
      <c r="O255" s="11"/>
      <c r="P255" s="11"/>
      <c r="Q255" s="11"/>
      <c r="R255" s="32"/>
      <c r="U255" s="11"/>
      <c r="V255" s="3"/>
      <c r="W255" s="3"/>
      <c r="X255" s="3"/>
      <c r="Y255" s="3"/>
      <c r="Z255" s="3"/>
      <c r="AA255" s="3"/>
    </row>
    <row r="256" spans="1:30">
      <c r="A256" s="11" t="s">
        <v>325</v>
      </c>
      <c r="B256" s="10">
        <v>45699</v>
      </c>
      <c r="C256" s="11">
        <f>MONTH(Table1[[#This Row],[Ngày]])</f>
        <v>2</v>
      </c>
      <c r="D256" s="11">
        <f t="shared" si="7"/>
        <v>1</v>
      </c>
      <c r="E256" s="11" t="s">
        <v>61</v>
      </c>
      <c r="F256" s="11" t="s">
        <v>9</v>
      </c>
      <c r="G256" s="11" t="s">
        <v>28</v>
      </c>
      <c r="H256" s="32">
        <v>97</v>
      </c>
      <c r="I256" s="38">
        <f t="shared" si="8"/>
        <v>33950000</v>
      </c>
      <c r="K256" s="11"/>
      <c r="L256" s="10"/>
      <c r="M256" s="11"/>
      <c r="N256" s="11"/>
      <c r="O256" s="11"/>
      <c r="P256" s="11"/>
      <c r="Q256" s="11"/>
      <c r="R256" s="32"/>
      <c r="U256" s="11"/>
      <c r="V256" s="3"/>
      <c r="W256" s="3"/>
      <c r="X256" s="3"/>
      <c r="Y256" s="3"/>
      <c r="Z256" s="3"/>
      <c r="AA256" s="3"/>
    </row>
    <row r="257" spans="1:27">
      <c r="A257" s="11" t="s">
        <v>326</v>
      </c>
      <c r="B257" s="10">
        <v>45694</v>
      </c>
      <c r="C257" s="11">
        <f>MONTH(Table1[[#This Row],[Ngày]])</f>
        <v>2</v>
      </c>
      <c r="D257" s="11">
        <f t="shared" si="7"/>
        <v>1</v>
      </c>
      <c r="E257" s="11" t="s">
        <v>61</v>
      </c>
      <c r="F257" s="11" t="s">
        <v>9</v>
      </c>
      <c r="G257" s="11" t="s">
        <v>27</v>
      </c>
      <c r="H257" s="32">
        <v>58</v>
      </c>
      <c r="I257" s="38">
        <f t="shared" si="8"/>
        <v>20300000</v>
      </c>
      <c r="K257" s="11"/>
      <c r="L257" s="10"/>
      <c r="M257" s="11"/>
      <c r="N257" s="11"/>
      <c r="O257" s="11"/>
      <c r="P257" s="11"/>
      <c r="Q257" s="11"/>
      <c r="R257" s="32"/>
      <c r="U257" s="11"/>
      <c r="V257" s="3"/>
      <c r="W257" s="3"/>
      <c r="X257" s="3"/>
      <c r="Y257" s="3"/>
      <c r="Z257" s="3"/>
      <c r="AA257" s="3"/>
    </row>
    <row r="258" spans="1:27">
      <c r="A258" s="11" t="s">
        <v>327</v>
      </c>
      <c r="B258" s="10">
        <v>45663</v>
      </c>
      <c r="C258" s="11">
        <f>MONTH(Table1[[#This Row],[Ngày]])</f>
        <v>1</v>
      </c>
      <c r="D258" s="11">
        <f t="shared" ref="D258:D321" si="9">ROUNDUP($C258/3, 0)</f>
        <v>1</v>
      </c>
      <c r="E258" s="11" t="s">
        <v>51</v>
      </c>
      <c r="F258" s="11" t="s">
        <v>9</v>
      </c>
      <c r="G258" s="11" t="s">
        <v>28</v>
      </c>
      <c r="H258" s="32">
        <v>49</v>
      </c>
      <c r="I258" s="38">
        <f t="shared" ref="I258:I321" si="10">IF(F258="AS002", H258*350000,
IF(F258="AT001", H258*150000,
IF(F258="QT003", H258*500000, 0)))</f>
        <v>17150000</v>
      </c>
      <c r="K258" s="11"/>
      <c r="L258" s="10"/>
      <c r="M258" s="11"/>
      <c r="N258" s="11"/>
      <c r="O258" s="11"/>
      <c r="P258" s="11"/>
      <c r="Q258" s="11"/>
      <c r="R258" s="32"/>
      <c r="U258" s="11"/>
      <c r="V258" s="3"/>
      <c r="W258" s="3"/>
      <c r="X258" s="3"/>
      <c r="Y258" s="3"/>
      <c r="Z258" s="3"/>
      <c r="AA258" s="3"/>
    </row>
    <row r="259" spans="1:27">
      <c r="A259" s="11" t="s">
        <v>328</v>
      </c>
      <c r="B259" s="10">
        <v>45673</v>
      </c>
      <c r="C259" s="11">
        <f>MONTH(Table1[[#This Row],[Ngày]])</f>
        <v>1</v>
      </c>
      <c r="D259" s="11">
        <f t="shared" si="9"/>
        <v>1</v>
      </c>
      <c r="E259" s="11" t="s">
        <v>55</v>
      </c>
      <c r="F259" s="11" t="s">
        <v>6</v>
      </c>
      <c r="G259" s="11" t="s">
        <v>28</v>
      </c>
      <c r="H259" s="32">
        <v>30</v>
      </c>
      <c r="I259" s="38">
        <f t="shared" si="10"/>
        <v>4500000</v>
      </c>
      <c r="K259" s="11"/>
      <c r="L259" s="10"/>
      <c r="M259" s="11"/>
      <c r="N259" s="11"/>
      <c r="O259" s="11"/>
      <c r="P259" s="11"/>
      <c r="Q259" s="11"/>
      <c r="R259" s="32"/>
      <c r="U259" s="11"/>
      <c r="V259" s="3"/>
      <c r="W259" s="3"/>
      <c r="X259" s="3"/>
      <c r="Y259" s="3"/>
      <c r="Z259" s="3"/>
      <c r="AA259" s="3"/>
    </row>
    <row r="260" spans="1:27">
      <c r="A260" s="11" t="s">
        <v>329</v>
      </c>
      <c r="B260" s="10">
        <v>45701</v>
      </c>
      <c r="C260" s="11">
        <f>MONTH(Table1[[#This Row],[Ngày]])</f>
        <v>2</v>
      </c>
      <c r="D260" s="11">
        <f t="shared" si="9"/>
        <v>1</v>
      </c>
      <c r="E260" s="11" t="s">
        <v>59</v>
      </c>
      <c r="F260" s="11" t="s">
        <v>6</v>
      </c>
      <c r="G260" s="11" t="s">
        <v>27</v>
      </c>
      <c r="H260" s="32">
        <v>11</v>
      </c>
      <c r="I260" s="38">
        <f t="shared" si="10"/>
        <v>1650000</v>
      </c>
      <c r="K260" s="11"/>
      <c r="L260" s="10"/>
      <c r="M260" s="11"/>
      <c r="N260" s="11"/>
      <c r="O260" s="11"/>
      <c r="P260" s="11"/>
      <c r="Q260" s="11"/>
      <c r="R260" s="32"/>
      <c r="U260" s="11"/>
      <c r="V260" s="3"/>
      <c r="W260" s="3"/>
      <c r="X260" s="3"/>
      <c r="Y260" s="3"/>
      <c r="Z260" s="3"/>
      <c r="AA260" s="3"/>
    </row>
    <row r="261" spans="1:27">
      <c r="A261" s="11" t="s">
        <v>330</v>
      </c>
      <c r="B261" s="10">
        <v>45665</v>
      </c>
      <c r="C261" s="11">
        <f>MONTH(Table1[[#This Row],[Ngày]])</f>
        <v>1</v>
      </c>
      <c r="D261" s="11">
        <f t="shared" si="9"/>
        <v>1</v>
      </c>
      <c r="E261" s="11" t="s">
        <v>59</v>
      </c>
      <c r="F261" s="11" t="s">
        <v>11</v>
      </c>
      <c r="G261" s="11" t="s">
        <v>28</v>
      </c>
      <c r="H261" s="32">
        <v>13</v>
      </c>
      <c r="I261" s="38">
        <f t="shared" si="10"/>
        <v>6500000</v>
      </c>
      <c r="K261" s="11"/>
      <c r="L261" s="10"/>
      <c r="M261" s="11"/>
      <c r="N261" s="11"/>
      <c r="O261" s="11"/>
      <c r="P261" s="11"/>
      <c r="Q261" s="11"/>
      <c r="R261" s="32"/>
      <c r="U261" s="11"/>
      <c r="V261" s="3"/>
      <c r="W261" s="3"/>
      <c r="X261" s="3"/>
      <c r="Y261" s="3"/>
      <c r="Z261" s="3"/>
      <c r="AA261" s="3"/>
    </row>
    <row r="262" spans="1:27">
      <c r="A262" s="11" t="s">
        <v>331</v>
      </c>
      <c r="B262" s="10">
        <v>45673</v>
      </c>
      <c r="C262" s="11">
        <f>MONTH(Table1[[#This Row],[Ngày]])</f>
        <v>1</v>
      </c>
      <c r="D262" s="11">
        <f t="shared" si="9"/>
        <v>1</v>
      </c>
      <c r="E262" s="11" t="s">
        <v>64</v>
      </c>
      <c r="F262" s="11" t="s">
        <v>9</v>
      </c>
      <c r="G262" s="11" t="s">
        <v>27</v>
      </c>
      <c r="H262" s="32">
        <v>60</v>
      </c>
      <c r="I262" s="38">
        <f t="shared" si="10"/>
        <v>21000000</v>
      </c>
      <c r="K262" s="11"/>
      <c r="L262" s="10"/>
      <c r="M262" s="11"/>
      <c r="N262" s="11"/>
      <c r="O262" s="11"/>
      <c r="P262" s="11"/>
      <c r="Q262" s="11"/>
      <c r="R262" s="32"/>
      <c r="U262" s="11"/>
      <c r="V262" s="3"/>
      <c r="W262" s="3"/>
      <c r="X262" s="3"/>
      <c r="Y262" s="3"/>
      <c r="Z262" s="3"/>
      <c r="AA262" s="3"/>
    </row>
    <row r="263" spans="1:27">
      <c r="A263" s="11" t="s">
        <v>332</v>
      </c>
      <c r="B263" s="10">
        <v>45691</v>
      </c>
      <c r="C263" s="11">
        <f>MONTH(Table1[[#This Row],[Ngày]])</f>
        <v>2</v>
      </c>
      <c r="D263" s="11">
        <f t="shared" si="9"/>
        <v>1</v>
      </c>
      <c r="E263" s="11" t="s">
        <v>51</v>
      </c>
      <c r="F263" s="11" t="s">
        <v>11</v>
      </c>
      <c r="G263" s="11" t="s">
        <v>28</v>
      </c>
      <c r="H263" s="32">
        <v>37</v>
      </c>
      <c r="I263" s="38">
        <f t="shared" si="10"/>
        <v>18500000</v>
      </c>
      <c r="K263" s="11"/>
      <c r="L263" s="10"/>
      <c r="M263" s="11"/>
      <c r="N263" s="11"/>
      <c r="O263" s="11"/>
      <c r="P263" s="11"/>
      <c r="Q263" s="11"/>
      <c r="R263" s="32"/>
      <c r="U263" s="11"/>
      <c r="V263" s="3"/>
      <c r="W263" s="3"/>
      <c r="X263" s="3"/>
      <c r="Y263" s="3"/>
      <c r="Z263" s="3"/>
      <c r="AA263" s="3"/>
    </row>
    <row r="264" spans="1:27">
      <c r="A264" s="11" t="s">
        <v>333</v>
      </c>
      <c r="B264" s="10">
        <v>45698</v>
      </c>
      <c r="C264" s="11">
        <f>MONTH(Table1[[#This Row],[Ngày]])</f>
        <v>2</v>
      </c>
      <c r="D264" s="11">
        <f t="shared" si="9"/>
        <v>1</v>
      </c>
      <c r="E264" s="11" t="s">
        <v>59</v>
      </c>
      <c r="F264" s="11" t="s">
        <v>6</v>
      </c>
      <c r="G264" s="11" t="s">
        <v>27</v>
      </c>
      <c r="H264" s="32">
        <v>10</v>
      </c>
      <c r="I264" s="38">
        <f t="shared" si="10"/>
        <v>1500000</v>
      </c>
      <c r="K264" s="11"/>
      <c r="L264" s="10"/>
      <c r="M264" s="11"/>
      <c r="N264" s="11"/>
      <c r="O264" s="11"/>
      <c r="P264" s="11"/>
      <c r="Q264" s="11"/>
      <c r="R264" s="32"/>
      <c r="U264" s="11"/>
      <c r="V264" s="3"/>
      <c r="W264" s="3"/>
      <c r="X264" s="3"/>
      <c r="Y264" s="3"/>
      <c r="Z264" s="3"/>
      <c r="AA264" s="3"/>
    </row>
    <row r="265" spans="1:27">
      <c r="A265" s="11" t="s">
        <v>334</v>
      </c>
      <c r="B265" s="10">
        <v>45694</v>
      </c>
      <c r="C265" s="11">
        <f>MONTH(Table1[[#This Row],[Ngày]])</f>
        <v>2</v>
      </c>
      <c r="D265" s="11">
        <f t="shared" si="9"/>
        <v>1</v>
      </c>
      <c r="E265" s="11" t="s">
        <v>59</v>
      </c>
      <c r="F265" s="11" t="s">
        <v>9</v>
      </c>
      <c r="G265" s="11" t="s">
        <v>28</v>
      </c>
      <c r="H265" s="32">
        <v>65</v>
      </c>
      <c r="I265" s="38">
        <f t="shared" si="10"/>
        <v>22750000</v>
      </c>
      <c r="K265" s="11"/>
      <c r="L265" s="10"/>
      <c r="M265" s="11"/>
      <c r="N265" s="11"/>
      <c r="U265" s="11"/>
      <c r="V265" s="3"/>
      <c r="W265" s="3"/>
      <c r="X265" s="3"/>
      <c r="Y265" s="3"/>
      <c r="Z265" s="3"/>
      <c r="AA265" s="3"/>
    </row>
    <row r="266" spans="1:27">
      <c r="A266" s="11" t="s">
        <v>335</v>
      </c>
      <c r="B266" s="10">
        <v>45705</v>
      </c>
      <c r="C266" s="11">
        <f>MONTH(Table1[[#This Row],[Ngày]])</f>
        <v>2</v>
      </c>
      <c r="D266" s="11">
        <f t="shared" si="9"/>
        <v>1</v>
      </c>
      <c r="E266" s="11" t="s">
        <v>64</v>
      </c>
      <c r="F266" s="11" t="s">
        <v>11</v>
      </c>
      <c r="G266" s="11" t="s">
        <v>28</v>
      </c>
      <c r="H266" s="32">
        <v>87</v>
      </c>
      <c r="I266" s="38">
        <f t="shared" si="10"/>
        <v>43500000</v>
      </c>
      <c r="K266" s="11"/>
      <c r="L266" s="10"/>
      <c r="M266" s="11"/>
      <c r="N266" s="11"/>
      <c r="U266" s="11"/>
      <c r="V266" s="3"/>
      <c r="W266" s="3"/>
      <c r="X266" s="3"/>
      <c r="Y266" s="3"/>
      <c r="Z266" s="3"/>
      <c r="AA266" s="3"/>
    </row>
    <row r="267" spans="1:27">
      <c r="A267" s="11" t="s">
        <v>336</v>
      </c>
      <c r="B267" s="10">
        <v>45703</v>
      </c>
      <c r="C267" s="11">
        <f>MONTH(Table1[[#This Row],[Ngày]])</f>
        <v>2</v>
      </c>
      <c r="D267" s="11">
        <f t="shared" si="9"/>
        <v>1</v>
      </c>
      <c r="E267" s="11" t="s">
        <v>64</v>
      </c>
      <c r="F267" s="11" t="s">
        <v>9</v>
      </c>
      <c r="G267" s="11" t="s">
        <v>27</v>
      </c>
      <c r="H267" s="32">
        <v>36</v>
      </c>
      <c r="I267" s="38">
        <f t="shared" si="10"/>
        <v>12600000</v>
      </c>
      <c r="K267" s="11"/>
      <c r="L267" s="10"/>
      <c r="M267" s="11"/>
      <c r="N267" s="11"/>
      <c r="U267" s="11"/>
      <c r="V267" s="3"/>
      <c r="W267" s="3"/>
      <c r="X267" s="3"/>
      <c r="Y267" s="3"/>
      <c r="Z267" s="3"/>
      <c r="AA267" s="3"/>
    </row>
    <row r="268" spans="1:27">
      <c r="A268" s="11" t="s">
        <v>337</v>
      </c>
      <c r="B268" s="10">
        <v>45687</v>
      </c>
      <c r="C268" s="11">
        <f>MONTH(Table1[[#This Row],[Ngày]])</f>
        <v>1</v>
      </c>
      <c r="D268" s="11">
        <f t="shared" si="9"/>
        <v>1</v>
      </c>
      <c r="E268" s="11" t="s">
        <v>59</v>
      </c>
      <c r="F268" s="11" t="s">
        <v>9</v>
      </c>
      <c r="G268" s="11" t="s">
        <v>28</v>
      </c>
      <c r="H268" s="32">
        <v>19</v>
      </c>
      <c r="I268" s="38">
        <f t="shared" si="10"/>
        <v>6650000</v>
      </c>
      <c r="K268" s="11"/>
      <c r="L268" s="10"/>
      <c r="M268" s="11"/>
      <c r="N268" s="11"/>
      <c r="U268" s="11"/>
      <c r="V268" s="3"/>
      <c r="W268" s="3"/>
      <c r="X268" s="3"/>
      <c r="Y268" s="3"/>
      <c r="Z268" s="3"/>
      <c r="AA268" s="3"/>
    </row>
    <row r="269" spans="1:27">
      <c r="A269" s="11" t="s">
        <v>338</v>
      </c>
      <c r="B269" s="10">
        <v>45670</v>
      </c>
      <c r="C269" s="11">
        <f>MONTH(Table1[[#This Row],[Ngày]])</f>
        <v>1</v>
      </c>
      <c r="D269" s="11">
        <f t="shared" si="9"/>
        <v>1</v>
      </c>
      <c r="E269" s="11" t="s">
        <v>51</v>
      </c>
      <c r="F269" s="11" t="s">
        <v>9</v>
      </c>
      <c r="G269" s="11" t="s">
        <v>27</v>
      </c>
      <c r="H269" s="32">
        <v>55</v>
      </c>
      <c r="I269" s="38">
        <f t="shared" si="10"/>
        <v>19250000</v>
      </c>
      <c r="K269" s="11"/>
      <c r="L269" s="10"/>
      <c r="M269" s="11"/>
      <c r="N269" s="11"/>
      <c r="U269" s="11"/>
      <c r="V269" s="3"/>
      <c r="W269" s="3"/>
      <c r="X269" s="3"/>
      <c r="Y269" s="3"/>
      <c r="Z269" s="3"/>
      <c r="AA269" s="3"/>
    </row>
    <row r="270" spans="1:27">
      <c r="A270" s="11" t="s">
        <v>339</v>
      </c>
      <c r="B270" s="10">
        <v>45679</v>
      </c>
      <c r="C270" s="11">
        <f>MONTH(Table1[[#This Row],[Ngày]])</f>
        <v>1</v>
      </c>
      <c r="D270" s="11">
        <f t="shared" si="9"/>
        <v>1</v>
      </c>
      <c r="E270" s="11" t="s">
        <v>51</v>
      </c>
      <c r="F270" s="11" t="s">
        <v>9</v>
      </c>
      <c r="G270" s="11" t="s">
        <v>27</v>
      </c>
      <c r="H270" s="32">
        <v>82</v>
      </c>
      <c r="I270" s="38">
        <f t="shared" si="10"/>
        <v>28700000</v>
      </c>
      <c r="K270" s="11"/>
      <c r="L270" s="10"/>
      <c r="M270" s="11"/>
      <c r="N270" s="11"/>
      <c r="U270" s="11"/>
      <c r="V270" s="3"/>
      <c r="W270" s="3"/>
      <c r="X270" s="3"/>
      <c r="Y270" s="3"/>
      <c r="Z270" s="3"/>
      <c r="AA270" s="3"/>
    </row>
    <row r="271" spans="1:27">
      <c r="A271" s="11" t="s">
        <v>340</v>
      </c>
      <c r="B271" s="10">
        <v>45696</v>
      </c>
      <c r="C271" s="11">
        <f>MONTH(Table1[[#This Row],[Ngày]])</f>
        <v>2</v>
      </c>
      <c r="D271" s="11">
        <f t="shared" si="9"/>
        <v>1</v>
      </c>
      <c r="E271" s="11" t="s">
        <v>59</v>
      </c>
      <c r="F271" s="11" t="s">
        <v>9</v>
      </c>
      <c r="G271" s="11" t="s">
        <v>28</v>
      </c>
      <c r="H271" s="32">
        <v>59</v>
      </c>
      <c r="I271" s="38">
        <f t="shared" si="10"/>
        <v>20650000</v>
      </c>
      <c r="K271" s="11"/>
      <c r="L271" s="10"/>
      <c r="M271" s="11"/>
      <c r="N271" s="11"/>
      <c r="U271" s="11"/>
      <c r="V271" s="3"/>
      <c r="W271" s="3"/>
      <c r="X271" s="3"/>
      <c r="Y271" s="3"/>
      <c r="Z271" s="3"/>
      <c r="AA271" s="3"/>
    </row>
    <row r="272" spans="1:27">
      <c r="A272" s="11" t="s">
        <v>341</v>
      </c>
      <c r="B272" s="10">
        <v>45713</v>
      </c>
      <c r="C272" s="11">
        <f>MONTH(Table1[[#This Row],[Ngày]])</f>
        <v>2</v>
      </c>
      <c r="D272" s="11">
        <f t="shared" si="9"/>
        <v>1</v>
      </c>
      <c r="E272" s="11" t="s">
        <v>51</v>
      </c>
      <c r="F272" s="11" t="s">
        <v>11</v>
      </c>
      <c r="G272" s="11" t="s">
        <v>27</v>
      </c>
      <c r="H272" s="32">
        <v>53</v>
      </c>
      <c r="I272" s="38">
        <f t="shared" si="10"/>
        <v>26500000</v>
      </c>
      <c r="K272" s="11"/>
      <c r="L272" s="10"/>
      <c r="M272" s="11"/>
      <c r="N272" s="11"/>
      <c r="U272" s="11"/>
      <c r="V272" s="3"/>
      <c r="W272" s="3"/>
      <c r="X272" s="3"/>
      <c r="Y272" s="3"/>
      <c r="Z272" s="3"/>
      <c r="AA272" s="3"/>
    </row>
    <row r="273" spans="1:27">
      <c r="A273" s="11" t="s">
        <v>342</v>
      </c>
      <c r="B273" s="10">
        <v>45659</v>
      </c>
      <c r="C273" s="11">
        <f>MONTH(Table1[[#This Row],[Ngày]])</f>
        <v>1</v>
      </c>
      <c r="D273" s="11">
        <f t="shared" si="9"/>
        <v>1</v>
      </c>
      <c r="E273" s="11" t="s">
        <v>61</v>
      </c>
      <c r="F273" s="11" t="s">
        <v>11</v>
      </c>
      <c r="G273" s="11" t="s">
        <v>27</v>
      </c>
      <c r="H273" s="32">
        <v>59</v>
      </c>
      <c r="I273" s="38">
        <f t="shared" si="10"/>
        <v>29500000</v>
      </c>
      <c r="K273" s="11"/>
      <c r="L273" s="10"/>
      <c r="M273" s="11"/>
      <c r="N273" s="11"/>
      <c r="U273" s="11"/>
      <c r="V273" s="3"/>
      <c r="W273" s="3"/>
      <c r="X273" s="3"/>
      <c r="Y273" s="3"/>
      <c r="Z273" s="3"/>
      <c r="AA273" s="3"/>
    </row>
    <row r="274" spans="1:27">
      <c r="A274" s="11" t="s">
        <v>343</v>
      </c>
      <c r="B274" s="10">
        <v>45665</v>
      </c>
      <c r="C274" s="11">
        <f>MONTH(Table1[[#This Row],[Ngày]])</f>
        <v>1</v>
      </c>
      <c r="D274" s="11">
        <f t="shared" si="9"/>
        <v>1</v>
      </c>
      <c r="E274" s="11" t="s">
        <v>59</v>
      </c>
      <c r="F274" s="11" t="s">
        <v>6</v>
      </c>
      <c r="G274" s="11" t="s">
        <v>28</v>
      </c>
      <c r="H274" s="32">
        <v>50</v>
      </c>
      <c r="I274" s="38">
        <f t="shared" si="10"/>
        <v>7500000</v>
      </c>
      <c r="K274" s="11"/>
      <c r="L274" s="10"/>
      <c r="M274" s="11"/>
      <c r="N274" s="11"/>
      <c r="U274" s="11"/>
      <c r="V274" s="3"/>
      <c r="W274" s="3"/>
      <c r="X274" s="3"/>
      <c r="Y274" s="3"/>
      <c r="Z274" s="3"/>
      <c r="AA274" s="3"/>
    </row>
    <row r="275" spans="1:27">
      <c r="A275" s="11" t="s">
        <v>344</v>
      </c>
      <c r="B275" s="10">
        <v>45688</v>
      </c>
      <c r="C275" s="11">
        <f>MONTH(Table1[[#This Row],[Ngày]])</f>
        <v>1</v>
      </c>
      <c r="D275" s="11">
        <f t="shared" si="9"/>
        <v>1</v>
      </c>
      <c r="E275" s="11" t="s">
        <v>59</v>
      </c>
      <c r="F275" s="11" t="s">
        <v>11</v>
      </c>
      <c r="G275" s="11" t="s">
        <v>27</v>
      </c>
      <c r="H275" s="32">
        <v>56</v>
      </c>
      <c r="I275" s="38">
        <f t="shared" si="10"/>
        <v>28000000</v>
      </c>
      <c r="K275" s="11"/>
      <c r="L275" s="10"/>
      <c r="M275" s="11"/>
      <c r="N275" s="11"/>
      <c r="U275" s="17"/>
      <c r="V275" s="3"/>
      <c r="W275" s="3"/>
      <c r="X275" s="3"/>
      <c r="Y275" s="3"/>
      <c r="Z275" s="3"/>
      <c r="AA275" s="3"/>
    </row>
    <row r="276" spans="1:27">
      <c r="A276" s="11" t="s">
        <v>345</v>
      </c>
      <c r="B276" s="10">
        <v>45676</v>
      </c>
      <c r="C276" s="11">
        <f>MONTH(Table1[[#This Row],[Ngày]])</f>
        <v>1</v>
      </c>
      <c r="D276" s="11">
        <f t="shared" si="9"/>
        <v>1</v>
      </c>
      <c r="E276" s="11" t="s">
        <v>59</v>
      </c>
      <c r="F276" s="11" t="s">
        <v>6</v>
      </c>
      <c r="G276" s="11" t="s">
        <v>27</v>
      </c>
      <c r="H276" s="32">
        <v>54</v>
      </c>
      <c r="I276" s="38">
        <f t="shared" si="10"/>
        <v>8100000</v>
      </c>
      <c r="K276" s="11"/>
      <c r="L276" s="10"/>
      <c r="M276" s="11"/>
      <c r="N276" s="11"/>
      <c r="U276" s="17"/>
      <c r="V276" s="3"/>
      <c r="W276" s="3"/>
      <c r="X276" s="3"/>
      <c r="Y276" s="3"/>
      <c r="Z276" s="3"/>
      <c r="AA276" s="3"/>
    </row>
    <row r="277" spans="1:27">
      <c r="A277" s="11" t="s">
        <v>346</v>
      </c>
      <c r="B277" s="10">
        <v>45702</v>
      </c>
      <c r="C277" s="11">
        <f>MONTH(Table1[[#This Row],[Ngày]])</f>
        <v>2</v>
      </c>
      <c r="D277" s="11">
        <f t="shared" si="9"/>
        <v>1</v>
      </c>
      <c r="E277" s="11" t="s">
        <v>61</v>
      </c>
      <c r="F277" s="11" t="s">
        <v>11</v>
      </c>
      <c r="G277" s="11" t="s">
        <v>27</v>
      </c>
      <c r="H277" s="32">
        <v>53</v>
      </c>
      <c r="I277" s="38">
        <f t="shared" si="10"/>
        <v>26500000</v>
      </c>
      <c r="K277" s="11"/>
      <c r="L277" s="10"/>
      <c r="M277" s="11"/>
      <c r="N277" s="11"/>
      <c r="U277" s="17"/>
      <c r="V277" s="3"/>
      <c r="W277" s="3"/>
      <c r="X277" s="3"/>
      <c r="Y277" s="3"/>
      <c r="Z277" s="3"/>
      <c r="AA277" s="3"/>
    </row>
    <row r="278" spans="1:27">
      <c r="A278" s="11" t="s">
        <v>347</v>
      </c>
      <c r="B278" s="10">
        <v>45693</v>
      </c>
      <c r="C278" s="11">
        <f>MONTH(Table1[[#This Row],[Ngày]])</f>
        <v>2</v>
      </c>
      <c r="D278" s="11">
        <f t="shared" si="9"/>
        <v>1</v>
      </c>
      <c r="E278" s="11" t="s">
        <v>64</v>
      </c>
      <c r="F278" s="11" t="s">
        <v>11</v>
      </c>
      <c r="G278" s="11" t="s">
        <v>28</v>
      </c>
      <c r="H278" s="32">
        <v>19</v>
      </c>
      <c r="I278" s="38">
        <f t="shared" si="10"/>
        <v>9500000</v>
      </c>
      <c r="K278" s="11"/>
      <c r="L278" s="10"/>
      <c r="M278" s="11"/>
      <c r="N278" s="11"/>
      <c r="U278" s="17"/>
      <c r="V278" s="3"/>
      <c r="W278" s="3"/>
      <c r="X278" s="3"/>
      <c r="Y278" s="3"/>
      <c r="Z278" s="3"/>
      <c r="AA278" s="3"/>
    </row>
    <row r="279" spans="1:27">
      <c r="A279" s="11" t="s">
        <v>348</v>
      </c>
      <c r="B279" s="10">
        <v>45694</v>
      </c>
      <c r="C279" s="11">
        <f>MONTH(Table1[[#This Row],[Ngày]])</f>
        <v>2</v>
      </c>
      <c r="D279" s="11">
        <f t="shared" si="9"/>
        <v>1</v>
      </c>
      <c r="E279" s="11" t="s">
        <v>55</v>
      </c>
      <c r="F279" s="11" t="s">
        <v>11</v>
      </c>
      <c r="G279" s="11" t="s">
        <v>27</v>
      </c>
      <c r="H279" s="32">
        <v>99</v>
      </c>
      <c r="I279" s="38">
        <f t="shared" si="10"/>
        <v>49500000</v>
      </c>
      <c r="K279" s="11"/>
      <c r="L279" s="10"/>
      <c r="M279" s="11"/>
      <c r="N279" s="11"/>
      <c r="U279" s="17"/>
      <c r="V279" s="3"/>
      <c r="W279" s="3"/>
      <c r="X279" s="3"/>
      <c r="Y279" s="3"/>
      <c r="Z279" s="3"/>
      <c r="AA279" s="3"/>
    </row>
    <row r="280" spans="1:27">
      <c r="A280" s="11" t="s">
        <v>349</v>
      </c>
      <c r="B280" s="10">
        <v>45678</v>
      </c>
      <c r="C280" s="11">
        <f>MONTH(Table1[[#This Row],[Ngày]])</f>
        <v>1</v>
      </c>
      <c r="D280" s="11">
        <f t="shared" si="9"/>
        <v>1</v>
      </c>
      <c r="E280" s="11" t="s">
        <v>64</v>
      </c>
      <c r="F280" s="11" t="s">
        <v>9</v>
      </c>
      <c r="G280" s="11" t="s">
        <v>28</v>
      </c>
      <c r="H280" s="32">
        <v>19</v>
      </c>
      <c r="I280" s="38">
        <f t="shared" si="10"/>
        <v>6650000</v>
      </c>
      <c r="K280" s="11"/>
      <c r="L280" s="10"/>
      <c r="M280" s="11"/>
      <c r="N280" s="11"/>
      <c r="U280" s="17"/>
      <c r="V280" s="3"/>
      <c r="W280" s="3"/>
      <c r="X280" s="3"/>
      <c r="Y280" s="3"/>
      <c r="Z280" s="3"/>
      <c r="AA280" s="3"/>
    </row>
    <row r="281" spans="1:27">
      <c r="A281" s="11" t="s">
        <v>350</v>
      </c>
      <c r="B281" s="10">
        <v>45680</v>
      </c>
      <c r="C281" s="11">
        <f>MONTH(Table1[[#This Row],[Ngày]])</f>
        <v>1</v>
      </c>
      <c r="D281" s="11">
        <f t="shared" si="9"/>
        <v>1</v>
      </c>
      <c r="E281" s="11" t="s">
        <v>61</v>
      </c>
      <c r="F281" s="11" t="s">
        <v>11</v>
      </c>
      <c r="G281" s="11" t="s">
        <v>27</v>
      </c>
      <c r="H281" s="32">
        <v>20</v>
      </c>
      <c r="I281" s="38">
        <f t="shared" si="10"/>
        <v>10000000</v>
      </c>
      <c r="K281" s="11"/>
      <c r="L281" s="10"/>
      <c r="M281" s="11"/>
      <c r="N281" s="11"/>
      <c r="U281" s="17"/>
      <c r="V281" s="3"/>
      <c r="W281" s="3"/>
      <c r="X281" s="3"/>
      <c r="Y281" s="3"/>
      <c r="Z281" s="3"/>
      <c r="AA281" s="3"/>
    </row>
    <row r="282" spans="1:27">
      <c r="A282" s="11" t="s">
        <v>351</v>
      </c>
      <c r="B282" s="10">
        <v>45666</v>
      </c>
      <c r="C282" s="11">
        <f>MONTH(Table1[[#This Row],[Ngày]])</f>
        <v>1</v>
      </c>
      <c r="D282" s="11">
        <f t="shared" si="9"/>
        <v>1</v>
      </c>
      <c r="E282" s="11" t="s">
        <v>55</v>
      </c>
      <c r="F282" s="11" t="s">
        <v>11</v>
      </c>
      <c r="G282" s="11" t="s">
        <v>27</v>
      </c>
      <c r="H282" s="32">
        <v>65</v>
      </c>
      <c r="I282" s="38">
        <f t="shared" si="10"/>
        <v>32500000</v>
      </c>
      <c r="K282" s="11"/>
      <c r="L282" s="10"/>
      <c r="M282" s="11"/>
      <c r="N282" s="11"/>
      <c r="U282" s="17"/>
      <c r="V282" s="3"/>
      <c r="W282" s="3"/>
      <c r="X282" s="3"/>
      <c r="Y282" s="3"/>
      <c r="Z282" s="3"/>
      <c r="AA282" s="3"/>
    </row>
    <row r="283" spans="1:27">
      <c r="A283" s="11" t="s">
        <v>352</v>
      </c>
      <c r="B283" s="10">
        <v>45718</v>
      </c>
      <c r="C283" s="11">
        <f>MONTH(Table1[[#This Row],[Ngày]])</f>
        <v>3</v>
      </c>
      <c r="D283" s="11">
        <f t="shared" si="9"/>
        <v>1</v>
      </c>
      <c r="E283" s="11" t="s">
        <v>61</v>
      </c>
      <c r="F283" s="11" t="s">
        <v>6</v>
      </c>
      <c r="G283" s="11" t="s">
        <v>28</v>
      </c>
      <c r="H283" s="32">
        <v>95</v>
      </c>
      <c r="I283" s="38">
        <f t="shared" si="10"/>
        <v>14250000</v>
      </c>
      <c r="K283" s="11"/>
      <c r="L283" s="10"/>
      <c r="M283" s="11"/>
      <c r="N283" s="11"/>
      <c r="U283" s="17"/>
      <c r="V283" s="3"/>
      <c r="W283" s="3"/>
      <c r="X283" s="3"/>
      <c r="Y283" s="3"/>
      <c r="Z283" s="3"/>
      <c r="AA283" s="3"/>
    </row>
    <row r="284" spans="1:27">
      <c r="A284" s="11" t="s">
        <v>353</v>
      </c>
      <c r="B284" s="10">
        <v>45667</v>
      </c>
      <c r="C284" s="11">
        <f>MONTH(Table1[[#This Row],[Ngày]])</f>
        <v>1</v>
      </c>
      <c r="D284" s="11">
        <f t="shared" si="9"/>
        <v>1</v>
      </c>
      <c r="E284" s="11" t="s">
        <v>59</v>
      </c>
      <c r="F284" s="11" t="s">
        <v>6</v>
      </c>
      <c r="G284" s="11" t="s">
        <v>28</v>
      </c>
      <c r="H284" s="32">
        <v>63</v>
      </c>
      <c r="I284" s="38">
        <f t="shared" si="10"/>
        <v>9450000</v>
      </c>
      <c r="K284" s="11"/>
      <c r="L284" s="10"/>
      <c r="M284" s="11"/>
      <c r="N284" s="11"/>
      <c r="U284" s="17"/>
      <c r="V284" s="3"/>
      <c r="W284" s="3"/>
      <c r="X284" s="3"/>
      <c r="Y284" s="3"/>
      <c r="Z284" s="3"/>
      <c r="AA284" s="3"/>
    </row>
    <row r="285" spans="1:27">
      <c r="A285" s="11" t="s">
        <v>354</v>
      </c>
      <c r="B285" s="10">
        <v>45709</v>
      </c>
      <c r="C285" s="11">
        <f>MONTH(Table1[[#This Row],[Ngày]])</f>
        <v>2</v>
      </c>
      <c r="D285" s="11">
        <f t="shared" si="9"/>
        <v>1</v>
      </c>
      <c r="E285" s="11" t="s">
        <v>51</v>
      </c>
      <c r="F285" s="11" t="s">
        <v>11</v>
      </c>
      <c r="G285" s="11" t="s">
        <v>27</v>
      </c>
      <c r="H285" s="32">
        <v>63</v>
      </c>
      <c r="I285" s="38">
        <f t="shared" si="10"/>
        <v>31500000</v>
      </c>
      <c r="K285" s="11"/>
      <c r="L285" s="10"/>
      <c r="M285" s="11"/>
      <c r="N285" s="11"/>
      <c r="U285" s="17"/>
      <c r="V285" s="3"/>
      <c r="W285" s="3"/>
      <c r="X285" s="3"/>
      <c r="Y285" s="3"/>
      <c r="Z285" s="3"/>
      <c r="AA285" s="3"/>
    </row>
    <row r="286" spans="1:27">
      <c r="A286" s="11" t="s">
        <v>355</v>
      </c>
      <c r="B286" s="10">
        <v>45696</v>
      </c>
      <c r="C286" s="11">
        <f>MONTH(Table1[[#This Row],[Ngày]])</f>
        <v>2</v>
      </c>
      <c r="D286" s="11">
        <f t="shared" si="9"/>
        <v>1</v>
      </c>
      <c r="E286" s="11" t="s">
        <v>51</v>
      </c>
      <c r="F286" s="11" t="s">
        <v>9</v>
      </c>
      <c r="G286" s="11" t="s">
        <v>27</v>
      </c>
      <c r="H286" s="32">
        <v>97</v>
      </c>
      <c r="I286" s="38">
        <f t="shared" si="10"/>
        <v>33950000</v>
      </c>
      <c r="K286" s="11"/>
      <c r="L286" s="10"/>
      <c r="M286" s="11"/>
      <c r="N286" s="11"/>
      <c r="U286" s="17"/>
      <c r="V286" s="3"/>
      <c r="W286" s="3"/>
      <c r="X286" s="3"/>
      <c r="Y286" s="3"/>
      <c r="Z286" s="3"/>
      <c r="AA286" s="3"/>
    </row>
    <row r="287" spans="1:27">
      <c r="A287" s="11" t="s">
        <v>356</v>
      </c>
      <c r="B287" s="10">
        <v>45718</v>
      </c>
      <c r="C287" s="11">
        <f>MONTH(Table1[[#This Row],[Ngày]])</f>
        <v>3</v>
      </c>
      <c r="D287" s="11">
        <f t="shared" si="9"/>
        <v>1</v>
      </c>
      <c r="E287" s="11" t="s">
        <v>64</v>
      </c>
      <c r="F287" s="11" t="s">
        <v>6</v>
      </c>
      <c r="G287" s="11" t="s">
        <v>27</v>
      </c>
      <c r="H287" s="32">
        <v>90</v>
      </c>
      <c r="I287" s="38">
        <f t="shared" si="10"/>
        <v>13500000</v>
      </c>
      <c r="K287" s="11"/>
      <c r="L287" s="10"/>
      <c r="M287" s="11"/>
      <c r="N287" s="11"/>
      <c r="U287" s="17"/>
      <c r="V287" s="3"/>
      <c r="W287" s="3"/>
      <c r="X287" s="3"/>
      <c r="Y287" s="3"/>
      <c r="Z287" s="3"/>
      <c r="AA287" s="3"/>
    </row>
    <row r="288" spans="1:27">
      <c r="A288" s="11" t="s">
        <v>357</v>
      </c>
      <c r="B288" s="10">
        <v>45669</v>
      </c>
      <c r="C288" s="11">
        <f>MONTH(Table1[[#This Row],[Ngày]])</f>
        <v>1</v>
      </c>
      <c r="D288" s="11">
        <f t="shared" si="9"/>
        <v>1</v>
      </c>
      <c r="E288" s="11" t="s">
        <v>51</v>
      </c>
      <c r="F288" s="11" t="s">
        <v>6</v>
      </c>
      <c r="G288" s="11" t="s">
        <v>28</v>
      </c>
      <c r="H288" s="32">
        <v>82</v>
      </c>
      <c r="I288" s="38">
        <f t="shared" si="10"/>
        <v>12300000</v>
      </c>
      <c r="K288" s="11"/>
      <c r="L288" s="10"/>
      <c r="M288" s="11"/>
      <c r="N288" s="11"/>
      <c r="U288" s="17"/>
      <c r="V288" s="3"/>
      <c r="W288" s="3"/>
      <c r="X288" s="3"/>
      <c r="Y288" s="3"/>
      <c r="Z288" s="3"/>
      <c r="AA288" s="3"/>
    </row>
    <row r="289" spans="1:27">
      <c r="A289" s="11" t="s">
        <v>358</v>
      </c>
      <c r="B289" s="10">
        <v>45690</v>
      </c>
      <c r="C289" s="11">
        <f>MONTH(Table1[[#This Row],[Ngày]])</f>
        <v>2</v>
      </c>
      <c r="D289" s="11">
        <f t="shared" si="9"/>
        <v>1</v>
      </c>
      <c r="E289" s="11" t="s">
        <v>51</v>
      </c>
      <c r="F289" s="11" t="s">
        <v>11</v>
      </c>
      <c r="G289" s="11" t="s">
        <v>28</v>
      </c>
      <c r="H289" s="32">
        <v>32</v>
      </c>
      <c r="I289" s="38">
        <f t="shared" si="10"/>
        <v>16000000</v>
      </c>
      <c r="K289" s="11"/>
      <c r="L289" s="10"/>
      <c r="M289" s="11"/>
      <c r="N289" s="11"/>
      <c r="U289" s="17"/>
      <c r="V289" s="3"/>
      <c r="W289" s="3"/>
      <c r="X289" s="3"/>
      <c r="Y289" s="3"/>
      <c r="Z289" s="3"/>
      <c r="AA289" s="3"/>
    </row>
    <row r="290" spans="1:27">
      <c r="A290" s="11" t="s">
        <v>359</v>
      </c>
      <c r="B290" s="10">
        <v>45718</v>
      </c>
      <c r="C290" s="11">
        <f>MONTH(Table1[[#This Row],[Ngày]])</f>
        <v>3</v>
      </c>
      <c r="D290" s="11">
        <f t="shared" si="9"/>
        <v>1</v>
      </c>
      <c r="E290" s="11" t="s">
        <v>59</v>
      </c>
      <c r="F290" s="11" t="s">
        <v>6</v>
      </c>
      <c r="G290" s="11" t="s">
        <v>27</v>
      </c>
      <c r="H290" s="32">
        <v>29</v>
      </c>
      <c r="I290" s="38">
        <f t="shared" si="10"/>
        <v>4350000</v>
      </c>
      <c r="K290" s="11"/>
      <c r="L290" s="10"/>
      <c r="M290" s="11"/>
      <c r="N290" s="11"/>
      <c r="U290" s="17"/>
      <c r="V290" s="3"/>
      <c r="W290" s="3"/>
      <c r="X290" s="3"/>
      <c r="Y290" s="3"/>
      <c r="Z290" s="3"/>
      <c r="AA290" s="3"/>
    </row>
    <row r="291" spans="1:27">
      <c r="A291" s="11" t="s">
        <v>360</v>
      </c>
      <c r="B291" s="10">
        <v>45665</v>
      </c>
      <c r="C291" s="11">
        <f>MONTH(Table1[[#This Row],[Ngày]])</f>
        <v>1</v>
      </c>
      <c r="D291" s="11">
        <f t="shared" si="9"/>
        <v>1</v>
      </c>
      <c r="E291" s="11" t="s">
        <v>64</v>
      </c>
      <c r="F291" s="11" t="s">
        <v>6</v>
      </c>
      <c r="G291" s="11" t="s">
        <v>28</v>
      </c>
      <c r="H291" s="32">
        <v>81</v>
      </c>
      <c r="I291" s="38">
        <f t="shared" si="10"/>
        <v>12150000</v>
      </c>
      <c r="K291" s="11"/>
      <c r="L291" s="10"/>
      <c r="M291" s="11"/>
      <c r="N291" s="11"/>
      <c r="U291" s="17"/>
      <c r="V291" s="3"/>
      <c r="W291" s="3"/>
      <c r="X291" s="3"/>
      <c r="Y291" s="3"/>
      <c r="Z291" s="3"/>
      <c r="AA291" s="3"/>
    </row>
    <row r="292" spans="1:27">
      <c r="A292" s="11" t="s">
        <v>361</v>
      </c>
      <c r="B292" s="10">
        <v>45682</v>
      </c>
      <c r="C292" s="11">
        <f>MONTH(Table1[[#This Row],[Ngày]])</f>
        <v>1</v>
      </c>
      <c r="D292" s="11">
        <f t="shared" si="9"/>
        <v>1</v>
      </c>
      <c r="E292" s="11" t="s">
        <v>61</v>
      </c>
      <c r="F292" s="11" t="s">
        <v>9</v>
      </c>
      <c r="G292" s="11" t="s">
        <v>28</v>
      </c>
      <c r="H292" s="32">
        <v>24</v>
      </c>
      <c r="I292" s="38">
        <f t="shared" si="10"/>
        <v>8400000</v>
      </c>
      <c r="K292" s="11"/>
      <c r="L292" s="10"/>
      <c r="M292" s="11"/>
      <c r="N292" s="11"/>
      <c r="U292" s="17"/>
      <c r="V292" s="3"/>
      <c r="W292" s="3"/>
      <c r="X292" s="3"/>
      <c r="Y292" s="3"/>
      <c r="Z292" s="3"/>
      <c r="AA292" s="3"/>
    </row>
    <row r="293" spans="1:27">
      <c r="A293" s="11" t="s">
        <v>362</v>
      </c>
      <c r="B293" s="10">
        <v>45687</v>
      </c>
      <c r="C293" s="11">
        <f>MONTH(Table1[[#This Row],[Ngày]])</f>
        <v>1</v>
      </c>
      <c r="D293" s="11">
        <f t="shared" si="9"/>
        <v>1</v>
      </c>
      <c r="E293" s="11" t="s">
        <v>64</v>
      </c>
      <c r="F293" s="11" t="s">
        <v>6</v>
      </c>
      <c r="G293" s="11" t="s">
        <v>28</v>
      </c>
      <c r="H293" s="32">
        <v>28</v>
      </c>
      <c r="I293" s="38">
        <f t="shared" si="10"/>
        <v>4200000</v>
      </c>
      <c r="K293" s="11"/>
      <c r="L293" s="10"/>
      <c r="M293" s="11"/>
      <c r="N293" s="11"/>
      <c r="U293" s="17"/>
      <c r="V293" s="3"/>
      <c r="W293" s="3"/>
      <c r="X293" s="3"/>
      <c r="Y293" s="3"/>
      <c r="Z293" s="3"/>
      <c r="AA293" s="3"/>
    </row>
    <row r="294" spans="1:27">
      <c r="A294" s="11" t="s">
        <v>363</v>
      </c>
      <c r="B294" s="10">
        <v>45667</v>
      </c>
      <c r="C294" s="11">
        <f>MONTH(Table1[[#This Row],[Ngày]])</f>
        <v>1</v>
      </c>
      <c r="D294" s="11">
        <f t="shared" si="9"/>
        <v>1</v>
      </c>
      <c r="E294" s="11" t="s">
        <v>55</v>
      </c>
      <c r="F294" s="11" t="s">
        <v>6</v>
      </c>
      <c r="G294" s="11" t="s">
        <v>28</v>
      </c>
      <c r="H294" s="32">
        <v>86</v>
      </c>
      <c r="I294" s="38">
        <f t="shared" si="10"/>
        <v>12900000</v>
      </c>
      <c r="K294" s="11"/>
      <c r="L294" s="10"/>
      <c r="M294" s="11"/>
      <c r="N294" s="11"/>
      <c r="U294" s="17"/>
      <c r="V294" s="3"/>
      <c r="W294" s="3"/>
      <c r="X294" s="3"/>
      <c r="Y294" s="3"/>
      <c r="Z294" s="3"/>
      <c r="AA294" s="3"/>
    </row>
    <row r="295" spans="1:27">
      <c r="A295" s="11" t="s">
        <v>364</v>
      </c>
      <c r="B295" s="10">
        <v>45718</v>
      </c>
      <c r="C295" s="11">
        <f>MONTH(Table1[[#This Row],[Ngày]])</f>
        <v>3</v>
      </c>
      <c r="D295" s="11">
        <f t="shared" si="9"/>
        <v>1</v>
      </c>
      <c r="E295" s="11" t="s">
        <v>55</v>
      </c>
      <c r="F295" s="11" t="s">
        <v>11</v>
      </c>
      <c r="G295" s="11" t="s">
        <v>28</v>
      </c>
      <c r="H295" s="32">
        <v>64</v>
      </c>
      <c r="I295" s="38">
        <f t="shared" si="10"/>
        <v>32000000</v>
      </c>
      <c r="K295" s="11"/>
      <c r="L295" s="10"/>
      <c r="M295" s="11"/>
      <c r="N295" s="11"/>
      <c r="U295" s="17"/>
      <c r="V295" s="3"/>
      <c r="W295" s="3"/>
      <c r="X295" s="3"/>
      <c r="Y295" s="3"/>
      <c r="Z295" s="3"/>
      <c r="AA295" s="3"/>
    </row>
    <row r="296" spans="1:27">
      <c r="A296" s="11" t="s">
        <v>365</v>
      </c>
      <c r="B296" s="10">
        <v>45675</v>
      </c>
      <c r="C296" s="11">
        <f>MONTH(Table1[[#This Row],[Ngày]])</f>
        <v>1</v>
      </c>
      <c r="D296" s="11">
        <f t="shared" si="9"/>
        <v>1</v>
      </c>
      <c r="E296" s="11" t="s">
        <v>64</v>
      </c>
      <c r="F296" s="11" t="s">
        <v>11</v>
      </c>
      <c r="G296" s="11" t="s">
        <v>28</v>
      </c>
      <c r="H296" s="32">
        <v>85</v>
      </c>
      <c r="I296" s="38">
        <f t="shared" si="10"/>
        <v>42500000</v>
      </c>
      <c r="K296" s="11"/>
      <c r="L296" s="10"/>
      <c r="M296" s="11"/>
      <c r="N296" s="11"/>
      <c r="U296" s="17"/>
      <c r="V296" s="3"/>
      <c r="W296" s="3"/>
      <c r="X296" s="3"/>
      <c r="Y296" s="3"/>
      <c r="Z296" s="3"/>
      <c r="AA296" s="3"/>
    </row>
    <row r="297" spans="1:27">
      <c r="A297" s="11" t="s">
        <v>366</v>
      </c>
      <c r="B297" s="10">
        <v>45712</v>
      </c>
      <c r="C297" s="11">
        <f>MONTH(Table1[[#This Row],[Ngày]])</f>
        <v>2</v>
      </c>
      <c r="D297" s="11">
        <f t="shared" si="9"/>
        <v>1</v>
      </c>
      <c r="E297" s="11" t="s">
        <v>61</v>
      </c>
      <c r="F297" s="11" t="s">
        <v>9</v>
      </c>
      <c r="G297" s="11" t="s">
        <v>28</v>
      </c>
      <c r="H297" s="32">
        <v>32</v>
      </c>
      <c r="I297" s="38">
        <f t="shared" si="10"/>
        <v>11200000</v>
      </c>
      <c r="K297" s="11"/>
      <c r="L297" s="10"/>
      <c r="M297" s="11"/>
      <c r="N297" s="11"/>
      <c r="U297" s="17"/>
      <c r="V297" s="3"/>
      <c r="W297" s="3"/>
      <c r="X297" s="3"/>
      <c r="Y297" s="3"/>
      <c r="Z297" s="3"/>
      <c r="AA297" s="3"/>
    </row>
    <row r="298" spans="1:27">
      <c r="A298" s="11" t="s">
        <v>367</v>
      </c>
      <c r="B298" s="10">
        <v>45701</v>
      </c>
      <c r="C298" s="11">
        <f>MONTH(Table1[[#This Row],[Ngày]])</f>
        <v>2</v>
      </c>
      <c r="D298" s="11">
        <f t="shared" si="9"/>
        <v>1</v>
      </c>
      <c r="E298" s="11" t="s">
        <v>61</v>
      </c>
      <c r="F298" s="11" t="s">
        <v>6</v>
      </c>
      <c r="G298" s="11" t="s">
        <v>28</v>
      </c>
      <c r="H298" s="32">
        <v>79</v>
      </c>
      <c r="I298" s="38">
        <f t="shared" si="10"/>
        <v>11850000</v>
      </c>
      <c r="K298" s="11"/>
      <c r="L298" s="10"/>
      <c r="M298" s="11"/>
      <c r="N298" s="11"/>
      <c r="U298" s="17"/>
      <c r="V298" s="3"/>
      <c r="W298" s="3"/>
      <c r="X298" s="3"/>
      <c r="Y298" s="3"/>
      <c r="Z298" s="3"/>
      <c r="AA298" s="3"/>
    </row>
    <row r="299" spans="1:27">
      <c r="A299" s="11" t="s">
        <v>368</v>
      </c>
      <c r="B299" s="10">
        <v>45711</v>
      </c>
      <c r="C299" s="11">
        <f>MONTH(Table1[[#This Row],[Ngày]])</f>
        <v>2</v>
      </c>
      <c r="D299" s="11">
        <f t="shared" si="9"/>
        <v>1</v>
      </c>
      <c r="E299" s="11" t="s">
        <v>59</v>
      </c>
      <c r="F299" s="11" t="s">
        <v>9</v>
      </c>
      <c r="G299" s="11" t="s">
        <v>28</v>
      </c>
      <c r="H299" s="32">
        <v>67</v>
      </c>
      <c r="I299" s="38">
        <f t="shared" si="10"/>
        <v>23450000</v>
      </c>
      <c r="K299" s="11"/>
      <c r="L299" s="10"/>
      <c r="M299" s="11"/>
      <c r="N299" s="11"/>
      <c r="U299" s="17"/>
      <c r="V299" s="3"/>
      <c r="W299" s="3"/>
      <c r="X299" s="3"/>
      <c r="Y299" s="3"/>
      <c r="Z299" s="3"/>
      <c r="AA299" s="3"/>
    </row>
    <row r="300" spans="1:27">
      <c r="A300" s="11" t="s">
        <v>369</v>
      </c>
      <c r="B300" s="10">
        <v>45671</v>
      </c>
      <c r="C300" s="11">
        <f>MONTH(Table1[[#This Row],[Ngày]])</f>
        <v>1</v>
      </c>
      <c r="D300" s="11">
        <f t="shared" si="9"/>
        <v>1</v>
      </c>
      <c r="E300" s="11" t="s">
        <v>51</v>
      </c>
      <c r="F300" s="11" t="s">
        <v>6</v>
      </c>
      <c r="G300" s="11" t="s">
        <v>27</v>
      </c>
      <c r="H300" s="32">
        <v>59</v>
      </c>
      <c r="I300" s="38">
        <f t="shared" si="10"/>
        <v>8850000</v>
      </c>
      <c r="K300" s="11"/>
      <c r="L300" s="10"/>
      <c r="M300" s="11"/>
      <c r="N300" s="11"/>
      <c r="U300" s="17"/>
      <c r="V300" s="3"/>
      <c r="W300" s="3"/>
      <c r="X300" s="3"/>
      <c r="Y300" s="3"/>
      <c r="Z300" s="3"/>
      <c r="AA300" s="3"/>
    </row>
    <row r="301" spans="1:27">
      <c r="A301" s="11" t="s">
        <v>370</v>
      </c>
      <c r="B301" s="10">
        <v>45700</v>
      </c>
      <c r="C301" s="11">
        <f>MONTH(Table1[[#This Row],[Ngày]])</f>
        <v>2</v>
      </c>
      <c r="D301" s="11">
        <f t="shared" si="9"/>
        <v>1</v>
      </c>
      <c r="E301" s="11" t="s">
        <v>55</v>
      </c>
      <c r="F301" s="11" t="s">
        <v>9</v>
      </c>
      <c r="G301" s="11" t="s">
        <v>27</v>
      </c>
      <c r="H301" s="32">
        <v>59</v>
      </c>
      <c r="I301" s="38">
        <f t="shared" si="10"/>
        <v>20650000</v>
      </c>
      <c r="K301" s="11"/>
      <c r="L301" s="10"/>
      <c r="M301" s="11"/>
      <c r="N301" s="11"/>
      <c r="U301" s="17"/>
      <c r="V301" s="3"/>
      <c r="W301" s="3"/>
      <c r="X301" s="3"/>
      <c r="Y301" s="3"/>
      <c r="Z301" s="3"/>
      <c r="AA301" s="3"/>
    </row>
    <row r="302" spans="1:27">
      <c r="A302" s="11" t="s">
        <v>371</v>
      </c>
      <c r="B302" s="10">
        <v>45678</v>
      </c>
      <c r="C302" s="11">
        <f>MONTH(Table1[[#This Row],[Ngày]])</f>
        <v>1</v>
      </c>
      <c r="D302" s="11">
        <f t="shared" si="9"/>
        <v>1</v>
      </c>
      <c r="E302" s="11" t="s">
        <v>55</v>
      </c>
      <c r="F302" s="11" t="s">
        <v>6</v>
      </c>
      <c r="G302" s="11" t="s">
        <v>28</v>
      </c>
      <c r="H302" s="32">
        <v>71</v>
      </c>
      <c r="I302" s="38">
        <f t="shared" si="10"/>
        <v>10650000</v>
      </c>
      <c r="K302" s="11"/>
      <c r="L302" s="10"/>
      <c r="M302" s="11"/>
      <c r="N302" s="11"/>
      <c r="U302" s="17"/>
      <c r="V302" s="3"/>
      <c r="W302" s="3"/>
      <c r="X302" s="3"/>
      <c r="Y302" s="3"/>
      <c r="Z302" s="3"/>
      <c r="AA302" s="3"/>
    </row>
    <row r="303" spans="1:27">
      <c r="A303" s="11" t="s">
        <v>372</v>
      </c>
      <c r="B303" s="10">
        <v>45691</v>
      </c>
      <c r="C303" s="11">
        <f>MONTH(Table1[[#This Row],[Ngày]])</f>
        <v>2</v>
      </c>
      <c r="D303" s="11">
        <f t="shared" si="9"/>
        <v>1</v>
      </c>
      <c r="E303" s="11" t="s">
        <v>55</v>
      </c>
      <c r="F303" s="11" t="s">
        <v>9</v>
      </c>
      <c r="G303" s="11" t="s">
        <v>28</v>
      </c>
      <c r="H303" s="32">
        <v>49</v>
      </c>
      <c r="I303" s="38">
        <f t="shared" si="10"/>
        <v>17150000</v>
      </c>
      <c r="K303" s="11"/>
      <c r="L303" s="10"/>
      <c r="M303" s="11"/>
      <c r="N303" s="11"/>
      <c r="U303" s="17"/>
      <c r="V303" s="3"/>
      <c r="W303" s="3"/>
      <c r="X303" s="3"/>
      <c r="Y303" s="3"/>
      <c r="Z303" s="3"/>
      <c r="AA303" s="3"/>
    </row>
    <row r="304" spans="1:27">
      <c r="A304" s="11" t="s">
        <v>373</v>
      </c>
      <c r="B304" s="10">
        <v>45701</v>
      </c>
      <c r="C304" s="11">
        <f>MONTH(Table1[[#This Row],[Ngày]])</f>
        <v>2</v>
      </c>
      <c r="D304" s="11">
        <f t="shared" si="9"/>
        <v>1</v>
      </c>
      <c r="E304" s="11" t="s">
        <v>64</v>
      </c>
      <c r="F304" s="11" t="s">
        <v>9</v>
      </c>
      <c r="G304" s="11" t="s">
        <v>28</v>
      </c>
      <c r="H304" s="32">
        <v>83</v>
      </c>
      <c r="I304" s="38">
        <f t="shared" si="10"/>
        <v>29050000</v>
      </c>
      <c r="K304" s="11"/>
      <c r="L304" s="10"/>
      <c r="M304" s="11"/>
      <c r="N304" s="11"/>
      <c r="U304" s="17"/>
      <c r="V304" s="3"/>
      <c r="W304" s="3"/>
      <c r="X304" s="3"/>
      <c r="Y304" s="3"/>
      <c r="Z304" s="3"/>
      <c r="AA304" s="3"/>
    </row>
    <row r="305" spans="1:27">
      <c r="A305" s="11" t="s">
        <v>374</v>
      </c>
      <c r="B305" s="10">
        <v>45678</v>
      </c>
      <c r="C305" s="11">
        <f>MONTH(Table1[[#This Row],[Ngày]])</f>
        <v>1</v>
      </c>
      <c r="D305" s="11">
        <f t="shared" si="9"/>
        <v>1</v>
      </c>
      <c r="E305" s="11" t="s">
        <v>61</v>
      </c>
      <c r="F305" s="11" t="s">
        <v>11</v>
      </c>
      <c r="G305" s="11" t="s">
        <v>28</v>
      </c>
      <c r="H305" s="32">
        <v>24</v>
      </c>
      <c r="I305" s="38">
        <f t="shared" si="10"/>
        <v>12000000</v>
      </c>
      <c r="K305" s="11"/>
      <c r="L305" s="10"/>
      <c r="M305" s="11"/>
      <c r="N305" s="11"/>
      <c r="U305" s="17"/>
      <c r="V305" s="3"/>
      <c r="W305" s="3"/>
      <c r="X305" s="3"/>
      <c r="Y305" s="3"/>
      <c r="Z305" s="3"/>
      <c r="AA305" s="3"/>
    </row>
    <row r="306" spans="1:27">
      <c r="A306" s="11" t="s">
        <v>375</v>
      </c>
      <c r="B306" s="10">
        <v>45683</v>
      </c>
      <c r="C306" s="11">
        <f>MONTH(Table1[[#This Row],[Ngày]])</f>
        <v>1</v>
      </c>
      <c r="D306" s="11">
        <f t="shared" si="9"/>
        <v>1</v>
      </c>
      <c r="E306" s="11" t="s">
        <v>64</v>
      </c>
      <c r="F306" s="11" t="s">
        <v>6</v>
      </c>
      <c r="G306" s="11" t="s">
        <v>27</v>
      </c>
      <c r="H306" s="32">
        <v>17</v>
      </c>
      <c r="I306" s="38">
        <f t="shared" si="10"/>
        <v>2550000</v>
      </c>
      <c r="K306" s="11"/>
      <c r="L306" s="10"/>
      <c r="M306" s="11"/>
      <c r="N306" s="11"/>
      <c r="U306" s="17"/>
      <c r="V306" s="3"/>
      <c r="W306" s="3"/>
      <c r="X306" s="3"/>
      <c r="Y306" s="3"/>
      <c r="Z306" s="3"/>
      <c r="AA306" s="3"/>
    </row>
    <row r="307" spans="1:27">
      <c r="A307" s="11" t="s">
        <v>376</v>
      </c>
      <c r="B307" s="10">
        <v>45692</v>
      </c>
      <c r="C307" s="11">
        <f>MONTH(Table1[[#This Row],[Ngày]])</f>
        <v>2</v>
      </c>
      <c r="D307" s="11">
        <f t="shared" si="9"/>
        <v>1</v>
      </c>
      <c r="E307" s="11" t="s">
        <v>51</v>
      </c>
      <c r="F307" s="11" t="s">
        <v>6</v>
      </c>
      <c r="G307" s="11" t="s">
        <v>28</v>
      </c>
      <c r="H307" s="32">
        <v>64</v>
      </c>
      <c r="I307" s="38">
        <f t="shared" si="10"/>
        <v>9600000</v>
      </c>
      <c r="K307" s="11"/>
      <c r="L307" s="10"/>
      <c r="M307" s="11"/>
      <c r="N307" s="11"/>
      <c r="U307" s="17"/>
      <c r="V307" s="3"/>
      <c r="W307" s="3"/>
      <c r="X307" s="3"/>
      <c r="Y307" s="3"/>
      <c r="Z307" s="3"/>
      <c r="AA307" s="3"/>
    </row>
    <row r="308" spans="1:27">
      <c r="A308" s="11" t="s">
        <v>377</v>
      </c>
      <c r="B308" s="10">
        <v>45714</v>
      </c>
      <c r="C308" s="11">
        <f>MONTH(Table1[[#This Row],[Ngày]])</f>
        <v>2</v>
      </c>
      <c r="D308" s="11">
        <f t="shared" si="9"/>
        <v>1</v>
      </c>
      <c r="E308" s="11" t="s">
        <v>51</v>
      </c>
      <c r="F308" s="11" t="s">
        <v>9</v>
      </c>
      <c r="G308" s="11" t="s">
        <v>28</v>
      </c>
      <c r="H308" s="32">
        <v>47</v>
      </c>
      <c r="I308" s="38">
        <f t="shared" si="10"/>
        <v>16450000</v>
      </c>
      <c r="K308" s="11"/>
      <c r="L308" s="10"/>
      <c r="M308" s="11"/>
      <c r="N308" s="11"/>
      <c r="U308" s="17"/>
      <c r="V308" s="3"/>
      <c r="W308" s="3"/>
      <c r="X308" s="3"/>
      <c r="Y308" s="3"/>
      <c r="Z308" s="3"/>
      <c r="AA308" s="3"/>
    </row>
    <row r="309" spans="1:27">
      <c r="A309" s="11" t="s">
        <v>378</v>
      </c>
      <c r="B309" s="10">
        <v>45681</v>
      </c>
      <c r="C309" s="11">
        <f>MONTH(Table1[[#This Row],[Ngày]])</f>
        <v>1</v>
      </c>
      <c r="D309" s="11">
        <f t="shared" si="9"/>
        <v>1</v>
      </c>
      <c r="E309" s="11" t="s">
        <v>51</v>
      </c>
      <c r="F309" s="11" t="s">
        <v>6</v>
      </c>
      <c r="G309" s="11" t="s">
        <v>28</v>
      </c>
      <c r="H309" s="32">
        <v>82</v>
      </c>
      <c r="I309" s="38">
        <f t="shared" si="10"/>
        <v>12300000</v>
      </c>
      <c r="K309" s="11"/>
      <c r="L309" s="10"/>
      <c r="M309" s="11"/>
      <c r="N309" s="11"/>
      <c r="U309" s="17"/>
      <c r="V309" s="3"/>
      <c r="W309" s="3"/>
      <c r="X309" s="3"/>
      <c r="Y309" s="3"/>
      <c r="Z309" s="3"/>
      <c r="AA309" s="3"/>
    </row>
    <row r="310" spans="1:27">
      <c r="A310" s="11" t="s">
        <v>379</v>
      </c>
      <c r="B310" s="10">
        <v>45666</v>
      </c>
      <c r="C310" s="11">
        <f>MONTH(Table1[[#This Row],[Ngày]])</f>
        <v>1</v>
      </c>
      <c r="D310" s="11">
        <f t="shared" si="9"/>
        <v>1</v>
      </c>
      <c r="E310" s="11" t="s">
        <v>55</v>
      </c>
      <c r="F310" s="11" t="s">
        <v>11</v>
      </c>
      <c r="G310" s="11" t="s">
        <v>28</v>
      </c>
      <c r="H310" s="32">
        <v>15</v>
      </c>
      <c r="I310" s="38">
        <f t="shared" si="10"/>
        <v>7500000</v>
      </c>
      <c r="K310" s="11"/>
      <c r="L310" s="10"/>
      <c r="M310" s="11"/>
      <c r="N310" s="11"/>
      <c r="U310" s="17"/>
      <c r="V310" s="3"/>
      <c r="W310" s="3"/>
      <c r="X310" s="3"/>
      <c r="Y310" s="3"/>
      <c r="Z310" s="3"/>
      <c r="AA310" s="3"/>
    </row>
    <row r="311" spans="1:27">
      <c r="A311" s="11" t="s">
        <v>380</v>
      </c>
      <c r="B311" s="10">
        <v>45715</v>
      </c>
      <c r="C311" s="11">
        <f>MONTH(Table1[[#This Row],[Ngày]])</f>
        <v>2</v>
      </c>
      <c r="D311" s="11">
        <f t="shared" si="9"/>
        <v>1</v>
      </c>
      <c r="E311" s="11" t="s">
        <v>61</v>
      </c>
      <c r="F311" s="11" t="s">
        <v>11</v>
      </c>
      <c r="G311" s="11" t="s">
        <v>27</v>
      </c>
      <c r="H311" s="32">
        <v>15</v>
      </c>
      <c r="I311" s="38">
        <f t="shared" si="10"/>
        <v>7500000</v>
      </c>
      <c r="K311" s="11"/>
      <c r="L311" s="10"/>
      <c r="M311" s="11"/>
      <c r="N311" s="11"/>
      <c r="U311" s="17"/>
      <c r="V311" s="3"/>
      <c r="W311" s="3"/>
      <c r="X311" s="3"/>
      <c r="Y311" s="3"/>
      <c r="Z311" s="3"/>
      <c r="AA311" s="3"/>
    </row>
    <row r="312" spans="1:27">
      <c r="A312" s="11" t="s">
        <v>381</v>
      </c>
      <c r="B312" s="10">
        <v>45694</v>
      </c>
      <c r="C312" s="11">
        <f>MONTH(Table1[[#This Row],[Ngày]])</f>
        <v>2</v>
      </c>
      <c r="D312" s="11">
        <f t="shared" si="9"/>
        <v>1</v>
      </c>
      <c r="E312" s="11" t="s">
        <v>61</v>
      </c>
      <c r="F312" s="11" t="s">
        <v>6</v>
      </c>
      <c r="G312" s="11" t="s">
        <v>27</v>
      </c>
      <c r="H312" s="32">
        <v>46</v>
      </c>
      <c r="I312" s="38">
        <f t="shared" si="10"/>
        <v>6900000</v>
      </c>
      <c r="K312" s="11"/>
      <c r="L312" s="10"/>
      <c r="M312" s="11"/>
      <c r="N312" s="11"/>
      <c r="U312" s="17"/>
      <c r="V312" s="3"/>
      <c r="W312" s="3"/>
      <c r="X312" s="3"/>
      <c r="Y312" s="3"/>
      <c r="Z312" s="3"/>
      <c r="AA312" s="3"/>
    </row>
    <row r="313" spans="1:27">
      <c r="A313" s="11" t="s">
        <v>382</v>
      </c>
      <c r="B313" s="10">
        <v>45702</v>
      </c>
      <c r="C313" s="11">
        <f>MONTH(Table1[[#This Row],[Ngày]])</f>
        <v>2</v>
      </c>
      <c r="D313" s="11">
        <f t="shared" si="9"/>
        <v>1</v>
      </c>
      <c r="E313" s="11" t="s">
        <v>51</v>
      </c>
      <c r="F313" s="11" t="s">
        <v>11</v>
      </c>
      <c r="G313" s="11" t="s">
        <v>27</v>
      </c>
      <c r="H313" s="32">
        <v>80</v>
      </c>
      <c r="I313" s="38">
        <f t="shared" si="10"/>
        <v>40000000</v>
      </c>
      <c r="K313" s="11"/>
      <c r="L313" s="10"/>
      <c r="M313" s="11"/>
      <c r="N313" s="11"/>
    </row>
    <row r="314" spans="1:27">
      <c r="A314" s="11" t="s">
        <v>383</v>
      </c>
      <c r="B314" s="10">
        <v>45701</v>
      </c>
      <c r="C314" s="11">
        <f>MONTH(Table1[[#This Row],[Ngày]])</f>
        <v>2</v>
      </c>
      <c r="D314" s="11">
        <f t="shared" si="9"/>
        <v>1</v>
      </c>
      <c r="E314" s="11" t="s">
        <v>55</v>
      </c>
      <c r="F314" s="11" t="s">
        <v>6</v>
      </c>
      <c r="G314" s="11" t="s">
        <v>27</v>
      </c>
      <c r="H314" s="32">
        <v>43</v>
      </c>
      <c r="I314" s="38">
        <f t="shared" si="10"/>
        <v>6450000</v>
      </c>
      <c r="K314" s="11"/>
      <c r="L314" s="10"/>
      <c r="M314" s="11"/>
      <c r="N314" s="11"/>
    </row>
    <row r="315" spans="1:27">
      <c r="A315" s="11" t="s">
        <v>384</v>
      </c>
      <c r="B315" s="10">
        <v>45705</v>
      </c>
      <c r="C315" s="11">
        <f>MONTH(Table1[[#This Row],[Ngày]])</f>
        <v>2</v>
      </c>
      <c r="D315" s="11">
        <f t="shared" si="9"/>
        <v>1</v>
      </c>
      <c r="E315" s="11" t="s">
        <v>51</v>
      </c>
      <c r="F315" s="11" t="s">
        <v>6</v>
      </c>
      <c r="G315" s="11" t="s">
        <v>28</v>
      </c>
      <c r="H315" s="32">
        <v>23</v>
      </c>
      <c r="I315" s="38">
        <f t="shared" si="10"/>
        <v>3450000</v>
      </c>
      <c r="K315" s="11"/>
      <c r="L315" s="10"/>
      <c r="M315" s="11"/>
      <c r="N315" s="11"/>
    </row>
    <row r="316" spans="1:27">
      <c r="A316" s="11" t="s">
        <v>385</v>
      </c>
      <c r="B316" s="10">
        <v>45689</v>
      </c>
      <c r="C316" s="11">
        <f>MONTH(Table1[[#This Row],[Ngày]])</f>
        <v>2</v>
      </c>
      <c r="D316" s="11">
        <f t="shared" si="9"/>
        <v>1</v>
      </c>
      <c r="E316" s="11" t="s">
        <v>51</v>
      </c>
      <c r="F316" s="11" t="s">
        <v>9</v>
      </c>
      <c r="G316" s="11" t="s">
        <v>27</v>
      </c>
      <c r="H316" s="32">
        <v>33</v>
      </c>
      <c r="I316" s="38">
        <f t="shared" si="10"/>
        <v>11550000</v>
      </c>
      <c r="K316" s="11"/>
      <c r="L316" s="10"/>
      <c r="M316" s="11"/>
      <c r="N316" s="11"/>
    </row>
    <row r="317" spans="1:27">
      <c r="A317" s="11" t="s">
        <v>386</v>
      </c>
      <c r="B317" s="10">
        <v>45659</v>
      </c>
      <c r="C317" s="11">
        <f>MONTH(Table1[[#This Row],[Ngày]])</f>
        <v>1</v>
      </c>
      <c r="D317" s="11">
        <f t="shared" si="9"/>
        <v>1</v>
      </c>
      <c r="E317" s="11" t="s">
        <v>55</v>
      </c>
      <c r="F317" s="11" t="s">
        <v>11</v>
      </c>
      <c r="G317" s="11" t="s">
        <v>28</v>
      </c>
      <c r="H317" s="32">
        <v>25</v>
      </c>
      <c r="I317" s="38">
        <f t="shared" si="10"/>
        <v>12500000</v>
      </c>
      <c r="K317" s="11"/>
      <c r="L317" s="10"/>
      <c r="M317" s="11"/>
      <c r="N317" s="11"/>
    </row>
    <row r="318" spans="1:27">
      <c r="A318" s="11" t="s">
        <v>387</v>
      </c>
      <c r="B318" s="10">
        <v>45677</v>
      </c>
      <c r="C318" s="11">
        <f>MONTH(Table1[[#This Row],[Ngày]])</f>
        <v>1</v>
      </c>
      <c r="D318" s="11">
        <f t="shared" si="9"/>
        <v>1</v>
      </c>
      <c r="E318" s="11" t="s">
        <v>61</v>
      </c>
      <c r="F318" s="11" t="s">
        <v>6</v>
      </c>
      <c r="G318" s="11" t="s">
        <v>27</v>
      </c>
      <c r="H318" s="32">
        <v>79</v>
      </c>
      <c r="I318" s="38">
        <f t="shared" si="10"/>
        <v>11850000</v>
      </c>
      <c r="K318" s="11"/>
      <c r="L318" s="10"/>
      <c r="M318" s="11"/>
      <c r="N318" s="11"/>
    </row>
    <row r="319" spans="1:27">
      <c r="A319" s="11" t="s">
        <v>388</v>
      </c>
      <c r="B319" s="10">
        <v>45709</v>
      </c>
      <c r="C319" s="11">
        <f>MONTH(Table1[[#This Row],[Ngày]])</f>
        <v>2</v>
      </c>
      <c r="D319" s="11">
        <f t="shared" si="9"/>
        <v>1</v>
      </c>
      <c r="E319" s="11" t="s">
        <v>55</v>
      </c>
      <c r="F319" s="11" t="s">
        <v>11</v>
      </c>
      <c r="G319" s="11" t="s">
        <v>27</v>
      </c>
      <c r="H319" s="32">
        <v>35</v>
      </c>
      <c r="I319" s="38">
        <f t="shared" si="10"/>
        <v>17500000</v>
      </c>
      <c r="K319" s="11"/>
      <c r="L319" s="10"/>
      <c r="M319" s="11"/>
      <c r="N319" s="11"/>
    </row>
    <row r="320" spans="1:27">
      <c r="A320" s="11" t="s">
        <v>389</v>
      </c>
      <c r="B320" s="10">
        <v>45704</v>
      </c>
      <c r="C320" s="11">
        <f>MONTH(Table1[[#This Row],[Ngày]])</f>
        <v>2</v>
      </c>
      <c r="D320" s="11">
        <f t="shared" si="9"/>
        <v>1</v>
      </c>
      <c r="E320" s="11" t="s">
        <v>55</v>
      </c>
      <c r="F320" s="11" t="s">
        <v>9</v>
      </c>
      <c r="G320" s="11" t="s">
        <v>27</v>
      </c>
      <c r="H320" s="32">
        <v>98</v>
      </c>
      <c r="I320" s="38">
        <f t="shared" si="10"/>
        <v>34300000</v>
      </c>
      <c r="K320" s="11"/>
      <c r="L320" s="10"/>
      <c r="M320" s="11"/>
      <c r="N320" s="11"/>
    </row>
    <row r="321" spans="1:14">
      <c r="A321" s="11" t="s">
        <v>390</v>
      </c>
      <c r="B321" s="10">
        <v>45717</v>
      </c>
      <c r="C321" s="11">
        <f>MONTH(Table1[[#This Row],[Ngày]])</f>
        <v>3</v>
      </c>
      <c r="D321" s="11">
        <f t="shared" si="9"/>
        <v>1</v>
      </c>
      <c r="E321" s="11" t="s">
        <v>51</v>
      </c>
      <c r="F321" s="11" t="s">
        <v>9</v>
      </c>
      <c r="G321" s="11" t="s">
        <v>27</v>
      </c>
      <c r="H321" s="32">
        <v>38</v>
      </c>
      <c r="I321" s="38">
        <f t="shared" si="10"/>
        <v>13300000</v>
      </c>
      <c r="K321" s="11"/>
      <c r="L321" s="10"/>
      <c r="M321" s="11"/>
      <c r="N321" s="11"/>
    </row>
    <row r="322" spans="1:14">
      <c r="A322" s="11" t="s">
        <v>391</v>
      </c>
      <c r="B322" s="10">
        <v>45680</v>
      </c>
      <c r="C322" s="11">
        <f>MONTH(Table1[[#This Row],[Ngày]])</f>
        <v>1</v>
      </c>
      <c r="D322" s="11">
        <f t="shared" ref="D322:D385" si="11">ROUNDUP($C322/3, 0)</f>
        <v>1</v>
      </c>
      <c r="E322" s="11" t="s">
        <v>61</v>
      </c>
      <c r="F322" s="11" t="s">
        <v>6</v>
      </c>
      <c r="G322" s="11" t="s">
        <v>27</v>
      </c>
      <c r="H322" s="32">
        <v>24</v>
      </c>
      <c r="I322" s="38">
        <f t="shared" ref="I322:I385" si="12">IF(F322="AS002", H322*350000,
IF(F322="AT001", H322*150000,
IF(F322="QT003", H322*500000, 0)))</f>
        <v>3600000</v>
      </c>
      <c r="K322" s="11"/>
      <c r="L322" s="10"/>
      <c r="M322" s="11"/>
      <c r="N322" s="11"/>
    </row>
    <row r="323" spans="1:14">
      <c r="A323" s="11" t="s">
        <v>392</v>
      </c>
      <c r="B323" s="10">
        <v>45669</v>
      </c>
      <c r="C323" s="11">
        <f>MONTH(Table1[[#This Row],[Ngày]])</f>
        <v>1</v>
      </c>
      <c r="D323" s="11">
        <f t="shared" si="11"/>
        <v>1</v>
      </c>
      <c r="E323" s="11" t="s">
        <v>59</v>
      </c>
      <c r="F323" s="11" t="s">
        <v>11</v>
      </c>
      <c r="G323" s="11" t="s">
        <v>27</v>
      </c>
      <c r="H323" s="32">
        <v>13</v>
      </c>
      <c r="I323" s="38">
        <f t="shared" si="12"/>
        <v>6500000</v>
      </c>
      <c r="K323" s="11"/>
      <c r="L323" s="10"/>
      <c r="M323" s="11"/>
      <c r="N323" s="11"/>
    </row>
    <row r="324" spans="1:14">
      <c r="A324" s="11" t="s">
        <v>393</v>
      </c>
      <c r="B324" s="10">
        <v>45704</v>
      </c>
      <c r="C324" s="11">
        <f>MONTH(Table1[[#This Row],[Ngày]])</f>
        <v>2</v>
      </c>
      <c r="D324" s="11">
        <f t="shared" si="11"/>
        <v>1</v>
      </c>
      <c r="E324" s="11" t="s">
        <v>55</v>
      </c>
      <c r="F324" s="11" t="s">
        <v>11</v>
      </c>
      <c r="G324" s="11" t="s">
        <v>28</v>
      </c>
      <c r="H324" s="32">
        <v>56</v>
      </c>
      <c r="I324" s="38">
        <f t="shared" si="12"/>
        <v>28000000</v>
      </c>
      <c r="K324" s="11"/>
      <c r="L324" s="10"/>
      <c r="M324" s="11"/>
      <c r="N324" s="11"/>
    </row>
    <row r="325" spans="1:14">
      <c r="A325" s="11" t="s">
        <v>394</v>
      </c>
      <c r="B325" s="10">
        <v>45708</v>
      </c>
      <c r="C325" s="11">
        <f>MONTH(Table1[[#This Row],[Ngày]])</f>
        <v>2</v>
      </c>
      <c r="D325" s="11">
        <f t="shared" si="11"/>
        <v>1</v>
      </c>
      <c r="E325" s="11" t="s">
        <v>61</v>
      </c>
      <c r="F325" s="11" t="s">
        <v>11</v>
      </c>
      <c r="G325" s="11" t="s">
        <v>28</v>
      </c>
      <c r="H325" s="32">
        <v>35</v>
      </c>
      <c r="I325" s="38">
        <f t="shared" si="12"/>
        <v>17500000</v>
      </c>
      <c r="K325" s="11"/>
      <c r="L325" s="10"/>
      <c r="M325" s="11"/>
      <c r="N325" s="11"/>
    </row>
    <row r="326" spans="1:14">
      <c r="A326" s="11" t="s">
        <v>395</v>
      </c>
      <c r="B326" s="10">
        <v>45658</v>
      </c>
      <c r="C326" s="11">
        <f>MONTH(Table1[[#This Row],[Ngày]])</f>
        <v>1</v>
      </c>
      <c r="D326" s="11">
        <f t="shared" si="11"/>
        <v>1</v>
      </c>
      <c r="E326" s="11" t="s">
        <v>64</v>
      </c>
      <c r="F326" s="11" t="s">
        <v>6</v>
      </c>
      <c r="G326" s="11" t="s">
        <v>28</v>
      </c>
      <c r="H326" s="32">
        <v>73</v>
      </c>
      <c r="I326" s="38">
        <f t="shared" si="12"/>
        <v>10950000</v>
      </c>
      <c r="K326" s="11"/>
      <c r="L326" s="10"/>
      <c r="M326" s="11"/>
      <c r="N326" s="11"/>
    </row>
    <row r="327" spans="1:14">
      <c r="A327" s="11" t="s">
        <v>396</v>
      </c>
      <c r="B327" s="10">
        <v>45689</v>
      </c>
      <c r="C327" s="11">
        <f>MONTH(Table1[[#This Row],[Ngày]])</f>
        <v>2</v>
      </c>
      <c r="D327" s="11">
        <f t="shared" si="11"/>
        <v>1</v>
      </c>
      <c r="E327" s="11" t="s">
        <v>64</v>
      </c>
      <c r="F327" s="11" t="s">
        <v>9</v>
      </c>
      <c r="G327" s="11" t="s">
        <v>28</v>
      </c>
      <c r="H327" s="32">
        <v>12</v>
      </c>
      <c r="I327" s="38">
        <f t="shared" si="12"/>
        <v>4200000</v>
      </c>
      <c r="K327" s="11"/>
      <c r="L327" s="10"/>
      <c r="M327" s="11"/>
      <c r="N327" s="11"/>
    </row>
    <row r="328" spans="1:14">
      <c r="A328" s="11" t="s">
        <v>397</v>
      </c>
      <c r="B328" s="10">
        <v>45677</v>
      </c>
      <c r="C328" s="11">
        <f>MONTH(Table1[[#This Row],[Ngày]])</f>
        <v>1</v>
      </c>
      <c r="D328" s="11">
        <f t="shared" si="11"/>
        <v>1</v>
      </c>
      <c r="E328" s="11" t="s">
        <v>51</v>
      </c>
      <c r="F328" s="11" t="s">
        <v>11</v>
      </c>
      <c r="G328" s="11" t="s">
        <v>27</v>
      </c>
      <c r="H328" s="32">
        <v>18</v>
      </c>
      <c r="I328" s="38">
        <f t="shared" si="12"/>
        <v>9000000</v>
      </c>
      <c r="K328" s="11"/>
      <c r="L328" s="10"/>
      <c r="M328" s="11"/>
      <c r="N328" s="11"/>
    </row>
    <row r="329" spans="1:14">
      <c r="A329" s="11" t="s">
        <v>398</v>
      </c>
      <c r="B329" s="10">
        <v>45693</v>
      </c>
      <c r="C329" s="11">
        <f>MONTH(Table1[[#This Row],[Ngày]])</f>
        <v>2</v>
      </c>
      <c r="D329" s="11">
        <f t="shared" si="11"/>
        <v>1</v>
      </c>
      <c r="E329" s="11" t="s">
        <v>55</v>
      </c>
      <c r="F329" s="11" t="s">
        <v>11</v>
      </c>
      <c r="G329" s="11" t="s">
        <v>28</v>
      </c>
      <c r="H329" s="32">
        <v>70</v>
      </c>
      <c r="I329" s="38">
        <f t="shared" si="12"/>
        <v>35000000</v>
      </c>
      <c r="K329" s="11"/>
      <c r="L329" s="10"/>
      <c r="M329" s="11"/>
      <c r="N329" s="11"/>
    </row>
    <row r="330" spans="1:14">
      <c r="A330" s="11" t="s">
        <v>399</v>
      </c>
      <c r="B330" s="10">
        <v>45708</v>
      </c>
      <c r="C330" s="11">
        <f>MONTH(Table1[[#This Row],[Ngày]])</f>
        <v>2</v>
      </c>
      <c r="D330" s="11">
        <f t="shared" si="11"/>
        <v>1</v>
      </c>
      <c r="E330" s="11" t="s">
        <v>64</v>
      </c>
      <c r="F330" s="11" t="s">
        <v>6</v>
      </c>
      <c r="G330" s="11" t="s">
        <v>27</v>
      </c>
      <c r="H330" s="32">
        <v>58</v>
      </c>
      <c r="I330" s="38">
        <f t="shared" si="12"/>
        <v>8700000</v>
      </c>
      <c r="K330" s="11"/>
      <c r="L330" s="10"/>
      <c r="M330" s="11"/>
      <c r="N330" s="11"/>
    </row>
    <row r="331" spans="1:14">
      <c r="A331" s="11" t="s">
        <v>400</v>
      </c>
      <c r="B331" s="10">
        <v>45664</v>
      </c>
      <c r="C331" s="11">
        <f>MONTH(Table1[[#This Row],[Ngày]])</f>
        <v>1</v>
      </c>
      <c r="D331" s="11">
        <f t="shared" si="11"/>
        <v>1</v>
      </c>
      <c r="E331" s="11" t="s">
        <v>59</v>
      </c>
      <c r="F331" s="11" t="s">
        <v>6</v>
      </c>
      <c r="G331" s="11" t="s">
        <v>27</v>
      </c>
      <c r="H331" s="32">
        <v>35</v>
      </c>
      <c r="I331" s="38">
        <f t="shared" si="12"/>
        <v>5250000</v>
      </c>
      <c r="K331" s="11"/>
      <c r="L331" s="10"/>
      <c r="M331" s="11"/>
      <c r="N331" s="11"/>
    </row>
    <row r="332" spans="1:14">
      <c r="A332" s="11" t="s">
        <v>401</v>
      </c>
      <c r="B332" s="10">
        <v>45700</v>
      </c>
      <c r="C332" s="11">
        <f>MONTH(Table1[[#This Row],[Ngày]])</f>
        <v>2</v>
      </c>
      <c r="D332" s="11">
        <f t="shared" si="11"/>
        <v>1</v>
      </c>
      <c r="E332" s="11" t="s">
        <v>64</v>
      </c>
      <c r="F332" s="11" t="s">
        <v>6</v>
      </c>
      <c r="G332" s="11" t="s">
        <v>28</v>
      </c>
      <c r="H332" s="32">
        <v>48</v>
      </c>
      <c r="I332" s="38">
        <f t="shared" si="12"/>
        <v>7200000</v>
      </c>
      <c r="K332" s="11"/>
      <c r="L332" s="10"/>
      <c r="M332" s="11"/>
      <c r="N332" s="11"/>
    </row>
    <row r="333" spans="1:14">
      <c r="A333" s="11" t="s">
        <v>402</v>
      </c>
      <c r="B333" s="10">
        <v>45696</v>
      </c>
      <c r="C333" s="11">
        <f>MONTH(Table1[[#This Row],[Ngày]])</f>
        <v>2</v>
      </c>
      <c r="D333" s="11">
        <f t="shared" si="11"/>
        <v>1</v>
      </c>
      <c r="E333" s="11" t="s">
        <v>61</v>
      </c>
      <c r="F333" s="11" t="s">
        <v>6</v>
      </c>
      <c r="G333" s="11" t="s">
        <v>27</v>
      </c>
      <c r="H333" s="32">
        <v>10</v>
      </c>
      <c r="I333" s="38">
        <f t="shared" si="12"/>
        <v>1500000</v>
      </c>
      <c r="K333" s="11"/>
      <c r="L333" s="10"/>
      <c r="M333" s="11"/>
      <c r="N333" s="11"/>
    </row>
    <row r="334" spans="1:14">
      <c r="A334" s="11" t="s">
        <v>403</v>
      </c>
      <c r="B334" s="10">
        <v>45704</v>
      </c>
      <c r="C334" s="11">
        <f>MONTH(Table1[[#This Row],[Ngày]])</f>
        <v>2</v>
      </c>
      <c r="D334" s="11">
        <f t="shared" si="11"/>
        <v>1</v>
      </c>
      <c r="E334" s="11" t="s">
        <v>59</v>
      </c>
      <c r="F334" s="11" t="s">
        <v>6</v>
      </c>
      <c r="G334" s="11" t="s">
        <v>28</v>
      </c>
      <c r="H334" s="32">
        <v>37</v>
      </c>
      <c r="I334" s="38">
        <f t="shared" si="12"/>
        <v>5550000</v>
      </c>
      <c r="K334" s="11"/>
      <c r="L334" s="10"/>
      <c r="M334" s="11"/>
      <c r="N334" s="11"/>
    </row>
    <row r="335" spans="1:14">
      <c r="A335" s="11" t="s">
        <v>404</v>
      </c>
      <c r="B335" s="10">
        <v>45661</v>
      </c>
      <c r="C335" s="11">
        <f>MONTH(Table1[[#This Row],[Ngày]])</f>
        <v>1</v>
      </c>
      <c r="D335" s="11">
        <f t="shared" si="11"/>
        <v>1</v>
      </c>
      <c r="E335" s="11" t="s">
        <v>55</v>
      </c>
      <c r="F335" s="11" t="s">
        <v>9</v>
      </c>
      <c r="G335" s="11" t="s">
        <v>27</v>
      </c>
      <c r="H335" s="32">
        <v>100</v>
      </c>
      <c r="I335" s="38">
        <f t="shared" si="12"/>
        <v>35000000</v>
      </c>
      <c r="K335" s="11"/>
      <c r="L335" s="10"/>
      <c r="M335" s="11"/>
      <c r="N335" s="11"/>
    </row>
    <row r="336" spans="1:14">
      <c r="A336" s="11" t="s">
        <v>405</v>
      </c>
      <c r="B336" s="10">
        <v>45680</v>
      </c>
      <c r="C336" s="11">
        <f>MONTH(Table1[[#This Row],[Ngày]])</f>
        <v>1</v>
      </c>
      <c r="D336" s="11">
        <f t="shared" si="11"/>
        <v>1</v>
      </c>
      <c r="E336" s="11" t="s">
        <v>51</v>
      </c>
      <c r="F336" s="11" t="s">
        <v>9</v>
      </c>
      <c r="G336" s="11" t="s">
        <v>28</v>
      </c>
      <c r="H336" s="32">
        <v>97</v>
      </c>
      <c r="I336" s="38">
        <f t="shared" si="12"/>
        <v>33950000</v>
      </c>
      <c r="K336" s="11"/>
      <c r="L336" s="10"/>
      <c r="M336" s="11"/>
      <c r="N336" s="11"/>
    </row>
    <row r="337" spans="1:14">
      <c r="A337" s="11" t="s">
        <v>406</v>
      </c>
      <c r="B337" s="10">
        <v>45668</v>
      </c>
      <c r="C337" s="11">
        <f>MONTH(Table1[[#This Row],[Ngày]])</f>
        <v>1</v>
      </c>
      <c r="D337" s="11">
        <f t="shared" si="11"/>
        <v>1</v>
      </c>
      <c r="E337" s="11" t="s">
        <v>64</v>
      </c>
      <c r="F337" s="11" t="s">
        <v>9</v>
      </c>
      <c r="G337" s="11" t="s">
        <v>28</v>
      </c>
      <c r="H337" s="32">
        <v>31</v>
      </c>
      <c r="I337" s="38">
        <f t="shared" si="12"/>
        <v>10850000</v>
      </c>
      <c r="K337" s="11"/>
      <c r="L337" s="10"/>
      <c r="M337" s="11"/>
      <c r="N337" s="11"/>
    </row>
    <row r="338" spans="1:14">
      <c r="A338" s="11" t="s">
        <v>407</v>
      </c>
      <c r="B338" s="10">
        <v>45687</v>
      </c>
      <c r="C338" s="11">
        <f>MONTH(Table1[[#This Row],[Ngày]])</f>
        <v>1</v>
      </c>
      <c r="D338" s="11">
        <f t="shared" si="11"/>
        <v>1</v>
      </c>
      <c r="E338" s="11" t="s">
        <v>51</v>
      </c>
      <c r="F338" s="11" t="s">
        <v>11</v>
      </c>
      <c r="G338" s="11" t="s">
        <v>27</v>
      </c>
      <c r="H338" s="32">
        <v>47</v>
      </c>
      <c r="I338" s="38">
        <f t="shared" si="12"/>
        <v>23500000</v>
      </c>
      <c r="K338" s="11"/>
      <c r="L338" s="10"/>
      <c r="M338" s="11"/>
      <c r="N338" s="11"/>
    </row>
    <row r="339" spans="1:14">
      <c r="A339" s="11" t="s">
        <v>408</v>
      </c>
      <c r="B339" s="10">
        <v>45716</v>
      </c>
      <c r="C339" s="11">
        <f>MONTH(Table1[[#This Row],[Ngày]])</f>
        <v>2</v>
      </c>
      <c r="D339" s="11">
        <f t="shared" si="11"/>
        <v>1</v>
      </c>
      <c r="E339" s="11" t="s">
        <v>59</v>
      </c>
      <c r="F339" s="11" t="s">
        <v>11</v>
      </c>
      <c r="G339" s="11" t="s">
        <v>28</v>
      </c>
      <c r="H339" s="32">
        <v>75</v>
      </c>
      <c r="I339" s="38">
        <f t="shared" si="12"/>
        <v>37500000</v>
      </c>
      <c r="K339" s="11"/>
      <c r="L339" s="10"/>
      <c r="M339" s="11"/>
      <c r="N339" s="11"/>
    </row>
    <row r="340" spans="1:14">
      <c r="A340" s="11" t="s">
        <v>409</v>
      </c>
      <c r="B340" s="10">
        <v>45677</v>
      </c>
      <c r="C340" s="11">
        <f>MONTH(Table1[[#This Row],[Ngày]])</f>
        <v>1</v>
      </c>
      <c r="D340" s="11">
        <f t="shared" si="11"/>
        <v>1</v>
      </c>
      <c r="E340" s="11" t="s">
        <v>51</v>
      </c>
      <c r="F340" s="11" t="s">
        <v>9</v>
      </c>
      <c r="G340" s="11" t="s">
        <v>28</v>
      </c>
      <c r="H340" s="32">
        <v>95</v>
      </c>
      <c r="I340" s="38">
        <f t="shared" si="12"/>
        <v>33250000</v>
      </c>
      <c r="K340" s="11"/>
      <c r="L340" s="10"/>
      <c r="M340" s="11"/>
      <c r="N340" s="11"/>
    </row>
    <row r="341" spans="1:14">
      <c r="A341" s="11" t="s">
        <v>410</v>
      </c>
      <c r="B341" s="10">
        <v>45659</v>
      </c>
      <c r="C341" s="11">
        <f>MONTH(Table1[[#This Row],[Ngày]])</f>
        <v>1</v>
      </c>
      <c r="D341" s="11">
        <f t="shared" si="11"/>
        <v>1</v>
      </c>
      <c r="E341" s="11" t="s">
        <v>55</v>
      </c>
      <c r="F341" s="11" t="s">
        <v>9</v>
      </c>
      <c r="G341" s="11" t="s">
        <v>27</v>
      </c>
      <c r="H341" s="32">
        <v>18</v>
      </c>
      <c r="I341" s="38">
        <f t="shared" si="12"/>
        <v>6300000</v>
      </c>
      <c r="K341" s="11"/>
      <c r="L341" s="10"/>
      <c r="M341" s="11"/>
      <c r="N341" s="11"/>
    </row>
    <row r="342" spans="1:14">
      <c r="A342" s="11" t="s">
        <v>411</v>
      </c>
      <c r="B342" s="10">
        <v>45680</v>
      </c>
      <c r="C342" s="11">
        <f>MONTH(Table1[[#This Row],[Ngày]])</f>
        <v>1</v>
      </c>
      <c r="D342" s="11">
        <f t="shared" si="11"/>
        <v>1</v>
      </c>
      <c r="E342" s="11" t="s">
        <v>64</v>
      </c>
      <c r="F342" s="11" t="s">
        <v>6</v>
      </c>
      <c r="G342" s="11" t="s">
        <v>27</v>
      </c>
      <c r="H342" s="32">
        <v>47</v>
      </c>
      <c r="I342" s="38">
        <f t="shared" si="12"/>
        <v>7050000</v>
      </c>
      <c r="K342" s="11"/>
      <c r="L342" s="10"/>
      <c r="M342" s="11"/>
      <c r="N342" s="11"/>
    </row>
    <row r="343" spans="1:14">
      <c r="A343" s="11" t="s">
        <v>412</v>
      </c>
      <c r="B343" s="10">
        <v>45689</v>
      </c>
      <c r="C343" s="11">
        <f>MONTH(Table1[[#This Row],[Ngày]])</f>
        <v>2</v>
      </c>
      <c r="D343" s="11">
        <f t="shared" si="11"/>
        <v>1</v>
      </c>
      <c r="E343" s="11" t="s">
        <v>55</v>
      </c>
      <c r="F343" s="11" t="s">
        <v>9</v>
      </c>
      <c r="G343" s="11" t="s">
        <v>28</v>
      </c>
      <c r="H343" s="32">
        <v>57</v>
      </c>
      <c r="I343" s="38">
        <f t="shared" si="12"/>
        <v>19950000</v>
      </c>
      <c r="K343" s="11"/>
      <c r="L343" s="10"/>
      <c r="M343" s="11"/>
      <c r="N343" s="11"/>
    </row>
    <row r="344" spans="1:14">
      <c r="A344" s="11" t="s">
        <v>413</v>
      </c>
      <c r="B344" s="10">
        <v>45685</v>
      </c>
      <c r="C344" s="11">
        <f>MONTH(Table1[[#This Row],[Ngày]])</f>
        <v>1</v>
      </c>
      <c r="D344" s="11">
        <f t="shared" si="11"/>
        <v>1</v>
      </c>
      <c r="E344" s="11" t="s">
        <v>61</v>
      </c>
      <c r="F344" s="11" t="s">
        <v>11</v>
      </c>
      <c r="G344" s="11" t="s">
        <v>28</v>
      </c>
      <c r="H344" s="32">
        <v>49</v>
      </c>
      <c r="I344" s="38">
        <f t="shared" si="12"/>
        <v>24500000</v>
      </c>
      <c r="K344" s="11"/>
      <c r="L344" s="10"/>
      <c r="M344" s="11"/>
      <c r="N344" s="11"/>
    </row>
    <row r="345" spans="1:14">
      <c r="A345" s="11" t="s">
        <v>414</v>
      </c>
      <c r="B345" s="10">
        <v>45692</v>
      </c>
      <c r="C345" s="11">
        <f>MONTH(Table1[[#This Row],[Ngày]])</f>
        <v>2</v>
      </c>
      <c r="D345" s="11">
        <f t="shared" si="11"/>
        <v>1</v>
      </c>
      <c r="E345" s="11" t="s">
        <v>64</v>
      </c>
      <c r="F345" s="11" t="s">
        <v>9</v>
      </c>
      <c r="G345" s="11" t="s">
        <v>27</v>
      </c>
      <c r="H345" s="32">
        <v>13</v>
      </c>
      <c r="I345" s="38">
        <f t="shared" si="12"/>
        <v>4550000</v>
      </c>
      <c r="K345" s="11"/>
      <c r="L345" s="10"/>
      <c r="M345" s="11"/>
      <c r="N345" s="11"/>
    </row>
    <row r="346" spans="1:14">
      <c r="A346" s="11" t="s">
        <v>415</v>
      </c>
      <c r="B346" s="10">
        <v>45685</v>
      </c>
      <c r="C346" s="11">
        <f>MONTH(Table1[[#This Row],[Ngày]])</f>
        <v>1</v>
      </c>
      <c r="D346" s="11">
        <f t="shared" si="11"/>
        <v>1</v>
      </c>
      <c r="E346" s="11" t="s">
        <v>51</v>
      </c>
      <c r="F346" s="11" t="s">
        <v>11</v>
      </c>
      <c r="G346" s="11" t="s">
        <v>27</v>
      </c>
      <c r="H346" s="32">
        <v>98</v>
      </c>
      <c r="I346" s="38">
        <f t="shared" si="12"/>
        <v>49000000</v>
      </c>
      <c r="K346" s="11"/>
      <c r="L346" s="10"/>
      <c r="M346" s="11"/>
      <c r="N346" s="11"/>
    </row>
    <row r="347" spans="1:14">
      <c r="A347" s="11" t="s">
        <v>416</v>
      </c>
      <c r="B347" s="10">
        <v>45680</v>
      </c>
      <c r="C347" s="11">
        <f>MONTH(Table1[[#This Row],[Ngày]])</f>
        <v>1</v>
      </c>
      <c r="D347" s="11">
        <f t="shared" si="11"/>
        <v>1</v>
      </c>
      <c r="E347" s="11" t="s">
        <v>61</v>
      </c>
      <c r="F347" s="11" t="s">
        <v>11</v>
      </c>
      <c r="G347" s="11" t="s">
        <v>27</v>
      </c>
      <c r="H347" s="32">
        <v>62</v>
      </c>
      <c r="I347" s="38">
        <f t="shared" si="12"/>
        <v>31000000</v>
      </c>
      <c r="K347" s="11"/>
      <c r="L347" s="10"/>
      <c r="M347" s="11"/>
      <c r="N347" s="11"/>
    </row>
    <row r="348" spans="1:14">
      <c r="A348" s="11" t="s">
        <v>417</v>
      </c>
      <c r="B348" s="10">
        <v>45677</v>
      </c>
      <c r="C348" s="11">
        <f>MONTH(Table1[[#This Row],[Ngày]])</f>
        <v>1</v>
      </c>
      <c r="D348" s="11">
        <f t="shared" si="11"/>
        <v>1</v>
      </c>
      <c r="E348" s="11" t="s">
        <v>59</v>
      </c>
      <c r="F348" s="11" t="s">
        <v>11</v>
      </c>
      <c r="G348" s="11" t="s">
        <v>27</v>
      </c>
      <c r="H348" s="32">
        <v>72</v>
      </c>
      <c r="I348" s="38">
        <f t="shared" si="12"/>
        <v>36000000</v>
      </c>
      <c r="K348" s="11"/>
      <c r="L348" s="10"/>
      <c r="M348" s="11"/>
      <c r="N348" s="11"/>
    </row>
    <row r="349" spans="1:14">
      <c r="A349" s="11" t="s">
        <v>418</v>
      </c>
      <c r="B349" s="10">
        <v>45716</v>
      </c>
      <c r="C349" s="11">
        <f>MONTH(Table1[[#This Row],[Ngày]])</f>
        <v>2</v>
      </c>
      <c r="D349" s="11">
        <f t="shared" si="11"/>
        <v>1</v>
      </c>
      <c r="E349" s="11" t="s">
        <v>51</v>
      </c>
      <c r="F349" s="11" t="s">
        <v>9</v>
      </c>
      <c r="G349" s="11" t="s">
        <v>28</v>
      </c>
      <c r="H349" s="32">
        <v>75</v>
      </c>
      <c r="I349" s="38">
        <f t="shared" si="12"/>
        <v>26250000</v>
      </c>
      <c r="K349" s="11"/>
      <c r="L349" s="10"/>
      <c r="M349" s="11"/>
      <c r="N349" s="11"/>
    </row>
    <row r="350" spans="1:14">
      <c r="A350" s="11" t="s">
        <v>419</v>
      </c>
      <c r="B350" s="10">
        <v>45668</v>
      </c>
      <c r="C350" s="11">
        <f>MONTH(Table1[[#This Row],[Ngày]])</f>
        <v>1</v>
      </c>
      <c r="D350" s="11">
        <f t="shared" si="11"/>
        <v>1</v>
      </c>
      <c r="E350" s="11" t="s">
        <v>61</v>
      </c>
      <c r="F350" s="11" t="s">
        <v>9</v>
      </c>
      <c r="G350" s="11" t="s">
        <v>27</v>
      </c>
      <c r="H350" s="32">
        <v>49</v>
      </c>
      <c r="I350" s="38">
        <f t="shared" si="12"/>
        <v>17150000</v>
      </c>
      <c r="K350" s="11"/>
      <c r="L350" s="10"/>
      <c r="M350" s="11"/>
      <c r="N350" s="11"/>
    </row>
    <row r="351" spans="1:14">
      <c r="A351" s="11" t="s">
        <v>420</v>
      </c>
      <c r="B351" s="10">
        <v>45658</v>
      </c>
      <c r="C351" s="11">
        <f>MONTH(Table1[[#This Row],[Ngày]])</f>
        <v>1</v>
      </c>
      <c r="D351" s="11">
        <f t="shared" si="11"/>
        <v>1</v>
      </c>
      <c r="E351" s="11" t="s">
        <v>59</v>
      </c>
      <c r="F351" s="11" t="s">
        <v>9</v>
      </c>
      <c r="G351" s="11" t="s">
        <v>27</v>
      </c>
      <c r="H351" s="32">
        <v>49</v>
      </c>
      <c r="I351" s="38">
        <f t="shared" si="12"/>
        <v>17150000</v>
      </c>
      <c r="K351" s="11"/>
      <c r="L351" s="10"/>
      <c r="M351" s="11"/>
      <c r="N351" s="11"/>
    </row>
    <row r="352" spans="1:14">
      <c r="A352" s="11" t="s">
        <v>421</v>
      </c>
      <c r="B352" s="10">
        <v>45708</v>
      </c>
      <c r="C352" s="11">
        <f>MONTH(Table1[[#This Row],[Ngày]])</f>
        <v>2</v>
      </c>
      <c r="D352" s="11">
        <f t="shared" si="11"/>
        <v>1</v>
      </c>
      <c r="E352" s="11" t="s">
        <v>51</v>
      </c>
      <c r="F352" s="11" t="s">
        <v>11</v>
      </c>
      <c r="G352" s="11" t="s">
        <v>28</v>
      </c>
      <c r="H352" s="32">
        <v>58</v>
      </c>
      <c r="I352" s="38">
        <f t="shared" si="12"/>
        <v>29000000</v>
      </c>
      <c r="K352" s="11"/>
      <c r="L352" s="10"/>
      <c r="M352" s="11"/>
      <c r="N352" s="11"/>
    </row>
    <row r="353" spans="1:14">
      <c r="A353" s="11" t="s">
        <v>422</v>
      </c>
      <c r="B353" s="10">
        <v>45669</v>
      </c>
      <c r="C353" s="11">
        <f>MONTH(Table1[[#This Row],[Ngày]])</f>
        <v>1</v>
      </c>
      <c r="D353" s="11">
        <f t="shared" si="11"/>
        <v>1</v>
      </c>
      <c r="E353" s="11" t="s">
        <v>64</v>
      </c>
      <c r="F353" s="11" t="s">
        <v>6</v>
      </c>
      <c r="G353" s="11" t="s">
        <v>27</v>
      </c>
      <c r="H353" s="32">
        <v>29</v>
      </c>
      <c r="I353" s="38">
        <f t="shared" si="12"/>
        <v>4350000</v>
      </c>
      <c r="K353" s="11"/>
      <c r="L353" s="10"/>
      <c r="M353" s="11"/>
      <c r="N353" s="11"/>
    </row>
    <row r="354" spans="1:14">
      <c r="A354" s="11" t="s">
        <v>423</v>
      </c>
      <c r="B354" s="10">
        <v>45712</v>
      </c>
      <c r="C354" s="11">
        <f>MONTH(Table1[[#This Row],[Ngày]])</f>
        <v>2</v>
      </c>
      <c r="D354" s="11">
        <f t="shared" si="11"/>
        <v>1</v>
      </c>
      <c r="E354" s="11" t="s">
        <v>61</v>
      </c>
      <c r="F354" s="11" t="s">
        <v>9</v>
      </c>
      <c r="G354" s="11" t="s">
        <v>28</v>
      </c>
      <c r="H354" s="32">
        <v>37</v>
      </c>
      <c r="I354" s="38">
        <f t="shared" si="12"/>
        <v>12950000</v>
      </c>
      <c r="K354" s="11"/>
      <c r="L354" s="10"/>
      <c r="M354" s="11"/>
      <c r="N354" s="11"/>
    </row>
    <row r="355" spans="1:14">
      <c r="A355" s="11" t="s">
        <v>424</v>
      </c>
      <c r="B355" s="10">
        <v>45664</v>
      </c>
      <c r="C355" s="11">
        <f>MONTH(Table1[[#This Row],[Ngày]])</f>
        <v>1</v>
      </c>
      <c r="D355" s="11">
        <f t="shared" si="11"/>
        <v>1</v>
      </c>
      <c r="E355" s="11" t="s">
        <v>61</v>
      </c>
      <c r="F355" s="11" t="s">
        <v>11</v>
      </c>
      <c r="G355" s="11" t="s">
        <v>27</v>
      </c>
      <c r="H355" s="32">
        <v>53</v>
      </c>
      <c r="I355" s="38">
        <f t="shared" si="12"/>
        <v>26500000</v>
      </c>
      <c r="K355" s="11"/>
      <c r="L355" s="10"/>
      <c r="M355" s="11"/>
      <c r="N355" s="11"/>
    </row>
    <row r="356" spans="1:14">
      <c r="A356" s="11" t="s">
        <v>425</v>
      </c>
      <c r="B356" s="10">
        <v>45712</v>
      </c>
      <c r="C356" s="11">
        <f>MONTH(Table1[[#This Row],[Ngày]])</f>
        <v>2</v>
      </c>
      <c r="D356" s="11">
        <f t="shared" si="11"/>
        <v>1</v>
      </c>
      <c r="E356" s="11" t="s">
        <v>51</v>
      </c>
      <c r="F356" s="11" t="s">
        <v>9</v>
      </c>
      <c r="G356" s="11" t="s">
        <v>28</v>
      </c>
      <c r="H356" s="32">
        <v>28</v>
      </c>
      <c r="I356" s="38">
        <f t="shared" si="12"/>
        <v>9800000</v>
      </c>
      <c r="K356" s="11"/>
      <c r="L356" s="10"/>
      <c r="M356" s="11"/>
      <c r="N356" s="11"/>
    </row>
    <row r="357" spans="1:14">
      <c r="A357" s="11" t="s">
        <v>426</v>
      </c>
      <c r="B357" s="10">
        <v>45683</v>
      </c>
      <c r="C357" s="11">
        <f>MONTH(Table1[[#This Row],[Ngày]])</f>
        <v>1</v>
      </c>
      <c r="D357" s="11">
        <f t="shared" si="11"/>
        <v>1</v>
      </c>
      <c r="E357" s="11" t="s">
        <v>55</v>
      </c>
      <c r="F357" s="11" t="s">
        <v>11</v>
      </c>
      <c r="G357" s="11" t="s">
        <v>28</v>
      </c>
      <c r="H357" s="32">
        <v>27</v>
      </c>
      <c r="I357" s="38">
        <f t="shared" si="12"/>
        <v>13500000</v>
      </c>
      <c r="K357" s="11"/>
      <c r="L357" s="10"/>
      <c r="M357" s="11"/>
      <c r="N357" s="11"/>
    </row>
    <row r="358" spans="1:14">
      <c r="A358" s="11" t="s">
        <v>427</v>
      </c>
      <c r="B358" s="10">
        <v>45676</v>
      </c>
      <c r="C358" s="11">
        <f>MONTH(Table1[[#This Row],[Ngày]])</f>
        <v>1</v>
      </c>
      <c r="D358" s="11">
        <f t="shared" si="11"/>
        <v>1</v>
      </c>
      <c r="E358" s="11" t="s">
        <v>59</v>
      </c>
      <c r="F358" s="11" t="s">
        <v>11</v>
      </c>
      <c r="G358" s="11" t="s">
        <v>27</v>
      </c>
      <c r="H358" s="32">
        <v>42</v>
      </c>
      <c r="I358" s="38">
        <f t="shared" si="12"/>
        <v>21000000</v>
      </c>
      <c r="K358" s="11"/>
      <c r="L358" s="10"/>
      <c r="M358" s="11"/>
      <c r="N358" s="11"/>
    </row>
    <row r="359" spans="1:14">
      <c r="A359" s="11" t="s">
        <v>428</v>
      </c>
      <c r="B359" s="10">
        <v>45667</v>
      </c>
      <c r="C359" s="11">
        <f>MONTH(Table1[[#This Row],[Ngày]])</f>
        <v>1</v>
      </c>
      <c r="D359" s="11">
        <f t="shared" si="11"/>
        <v>1</v>
      </c>
      <c r="E359" s="11" t="s">
        <v>59</v>
      </c>
      <c r="F359" s="11" t="s">
        <v>11</v>
      </c>
      <c r="G359" s="11" t="s">
        <v>28</v>
      </c>
      <c r="H359" s="32">
        <v>90</v>
      </c>
      <c r="I359" s="38">
        <f t="shared" si="12"/>
        <v>45000000</v>
      </c>
      <c r="K359" s="11"/>
      <c r="L359" s="10"/>
      <c r="M359" s="11"/>
      <c r="N359" s="11"/>
    </row>
    <row r="360" spans="1:14">
      <c r="A360" s="11" t="s">
        <v>429</v>
      </c>
      <c r="B360" s="10">
        <v>45695</v>
      </c>
      <c r="C360" s="11">
        <f>MONTH(Table1[[#This Row],[Ngày]])</f>
        <v>2</v>
      </c>
      <c r="D360" s="11">
        <f t="shared" si="11"/>
        <v>1</v>
      </c>
      <c r="E360" s="11" t="s">
        <v>64</v>
      </c>
      <c r="F360" s="11" t="s">
        <v>11</v>
      </c>
      <c r="G360" s="11" t="s">
        <v>27</v>
      </c>
      <c r="H360" s="32">
        <v>31</v>
      </c>
      <c r="I360" s="38">
        <f t="shared" si="12"/>
        <v>15500000</v>
      </c>
      <c r="K360" s="11"/>
      <c r="L360" s="10"/>
      <c r="M360" s="11"/>
      <c r="N360" s="11"/>
    </row>
    <row r="361" spans="1:14">
      <c r="A361" s="11" t="s">
        <v>430</v>
      </c>
      <c r="B361" s="10">
        <v>45664</v>
      </c>
      <c r="C361" s="11">
        <f>MONTH(Table1[[#This Row],[Ngày]])</f>
        <v>1</v>
      </c>
      <c r="D361" s="11">
        <f t="shared" si="11"/>
        <v>1</v>
      </c>
      <c r="E361" s="11" t="s">
        <v>64</v>
      </c>
      <c r="F361" s="11" t="s">
        <v>6</v>
      </c>
      <c r="G361" s="11" t="s">
        <v>28</v>
      </c>
      <c r="H361" s="32">
        <v>56</v>
      </c>
      <c r="I361" s="38">
        <f t="shared" si="12"/>
        <v>8400000</v>
      </c>
      <c r="K361" s="11"/>
      <c r="L361" s="10"/>
      <c r="M361" s="11"/>
      <c r="N361" s="11"/>
    </row>
    <row r="362" spans="1:14">
      <c r="A362" s="11" t="s">
        <v>431</v>
      </c>
      <c r="B362" s="10">
        <v>45694</v>
      </c>
      <c r="C362" s="11">
        <f>MONTH(Table1[[#This Row],[Ngày]])</f>
        <v>2</v>
      </c>
      <c r="D362" s="11">
        <f t="shared" si="11"/>
        <v>1</v>
      </c>
      <c r="E362" s="11" t="s">
        <v>55</v>
      </c>
      <c r="F362" s="11" t="s">
        <v>11</v>
      </c>
      <c r="G362" s="11" t="s">
        <v>27</v>
      </c>
      <c r="H362" s="32">
        <v>47</v>
      </c>
      <c r="I362" s="38">
        <f t="shared" si="12"/>
        <v>23500000</v>
      </c>
      <c r="K362" s="11"/>
      <c r="L362" s="10"/>
      <c r="M362" s="11"/>
      <c r="N362" s="11"/>
    </row>
    <row r="363" spans="1:14">
      <c r="A363" s="11" t="s">
        <v>432</v>
      </c>
      <c r="B363" s="10">
        <v>45670</v>
      </c>
      <c r="C363" s="11">
        <f>MONTH(Table1[[#This Row],[Ngày]])</f>
        <v>1</v>
      </c>
      <c r="D363" s="11">
        <f t="shared" si="11"/>
        <v>1</v>
      </c>
      <c r="E363" s="11" t="s">
        <v>51</v>
      </c>
      <c r="F363" s="11" t="s">
        <v>9</v>
      </c>
      <c r="G363" s="11" t="s">
        <v>28</v>
      </c>
      <c r="H363" s="32">
        <v>54</v>
      </c>
      <c r="I363" s="38">
        <f t="shared" si="12"/>
        <v>18900000</v>
      </c>
      <c r="K363" s="11"/>
      <c r="L363" s="10"/>
      <c r="M363" s="11"/>
      <c r="N363" s="11"/>
    </row>
    <row r="364" spans="1:14">
      <c r="A364" s="11" t="s">
        <v>433</v>
      </c>
      <c r="B364" s="10">
        <v>45700</v>
      </c>
      <c r="C364" s="11">
        <f>MONTH(Table1[[#This Row],[Ngày]])</f>
        <v>2</v>
      </c>
      <c r="D364" s="11">
        <f t="shared" si="11"/>
        <v>1</v>
      </c>
      <c r="E364" s="11" t="s">
        <v>61</v>
      </c>
      <c r="F364" s="11" t="s">
        <v>11</v>
      </c>
      <c r="G364" s="11" t="s">
        <v>27</v>
      </c>
      <c r="H364" s="32">
        <v>82</v>
      </c>
      <c r="I364" s="38">
        <f t="shared" si="12"/>
        <v>41000000</v>
      </c>
      <c r="K364" s="11"/>
      <c r="L364" s="10"/>
      <c r="M364" s="11"/>
      <c r="N364" s="11"/>
    </row>
    <row r="365" spans="1:14">
      <c r="A365" s="11" t="s">
        <v>434</v>
      </c>
      <c r="B365" s="10">
        <v>45658</v>
      </c>
      <c r="C365" s="11">
        <f>MONTH(Table1[[#This Row],[Ngày]])</f>
        <v>1</v>
      </c>
      <c r="D365" s="11">
        <f t="shared" si="11"/>
        <v>1</v>
      </c>
      <c r="E365" s="11" t="s">
        <v>51</v>
      </c>
      <c r="F365" s="11" t="s">
        <v>6</v>
      </c>
      <c r="G365" s="11" t="s">
        <v>27</v>
      </c>
      <c r="H365" s="32">
        <v>66</v>
      </c>
      <c r="I365" s="38">
        <f t="shared" si="12"/>
        <v>9900000</v>
      </c>
      <c r="K365" s="11"/>
      <c r="L365" s="10"/>
      <c r="M365" s="11"/>
      <c r="N365" s="11"/>
    </row>
    <row r="366" spans="1:14">
      <c r="A366" s="11" t="s">
        <v>435</v>
      </c>
      <c r="B366" s="10">
        <v>45679</v>
      </c>
      <c r="C366" s="11">
        <f>MONTH(Table1[[#This Row],[Ngày]])</f>
        <v>1</v>
      </c>
      <c r="D366" s="11">
        <f t="shared" si="11"/>
        <v>1</v>
      </c>
      <c r="E366" s="11" t="s">
        <v>59</v>
      </c>
      <c r="F366" s="11" t="s">
        <v>6</v>
      </c>
      <c r="G366" s="11" t="s">
        <v>27</v>
      </c>
      <c r="H366" s="32">
        <v>20</v>
      </c>
      <c r="I366" s="38">
        <f t="shared" si="12"/>
        <v>3000000</v>
      </c>
      <c r="K366" s="11"/>
      <c r="L366" s="10"/>
      <c r="M366" s="11"/>
      <c r="N366" s="11"/>
    </row>
    <row r="367" spans="1:14">
      <c r="A367" s="11" t="s">
        <v>436</v>
      </c>
      <c r="B367" s="10">
        <v>45695</v>
      </c>
      <c r="C367" s="11">
        <f>MONTH(Table1[[#This Row],[Ngày]])</f>
        <v>2</v>
      </c>
      <c r="D367" s="11">
        <f t="shared" si="11"/>
        <v>1</v>
      </c>
      <c r="E367" s="11" t="s">
        <v>64</v>
      </c>
      <c r="F367" s="11" t="s">
        <v>9</v>
      </c>
      <c r="G367" s="11" t="s">
        <v>28</v>
      </c>
      <c r="H367" s="32">
        <v>52</v>
      </c>
      <c r="I367" s="38">
        <f t="shared" si="12"/>
        <v>18200000</v>
      </c>
      <c r="K367" s="11"/>
      <c r="L367" s="10"/>
      <c r="M367" s="11"/>
      <c r="N367" s="11"/>
    </row>
    <row r="368" spans="1:14">
      <c r="A368" s="11" t="s">
        <v>437</v>
      </c>
      <c r="B368" s="10">
        <v>45666</v>
      </c>
      <c r="C368" s="11">
        <f>MONTH(Table1[[#This Row],[Ngày]])</f>
        <v>1</v>
      </c>
      <c r="D368" s="11">
        <f t="shared" si="11"/>
        <v>1</v>
      </c>
      <c r="E368" s="11" t="s">
        <v>55</v>
      </c>
      <c r="F368" s="11" t="s">
        <v>6</v>
      </c>
      <c r="G368" s="11" t="s">
        <v>28</v>
      </c>
      <c r="H368" s="32">
        <v>23</v>
      </c>
      <c r="I368" s="38">
        <f t="shared" si="12"/>
        <v>3450000</v>
      </c>
      <c r="K368" s="11"/>
      <c r="L368" s="10"/>
      <c r="M368" s="11"/>
      <c r="N368" s="11"/>
    </row>
    <row r="369" spans="1:14">
      <c r="A369" s="11" t="s">
        <v>438</v>
      </c>
      <c r="B369" s="10">
        <v>45694</v>
      </c>
      <c r="C369" s="11">
        <f>MONTH(Table1[[#This Row],[Ngày]])</f>
        <v>2</v>
      </c>
      <c r="D369" s="11">
        <f t="shared" si="11"/>
        <v>1</v>
      </c>
      <c r="E369" s="11" t="s">
        <v>61</v>
      </c>
      <c r="F369" s="11" t="s">
        <v>9</v>
      </c>
      <c r="G369" s="11" t="s">
        <v>27</v>
      </c>
      <c r="H369" s="32">
        <v>47</v>
      </c>
      <c r="I369" s="38">
        <f t="shared" si="12"/>
        <v>16450000</v>
      </c>
      <c r="K369" s="11"/>
      <c r="L369" s="10"/>
      <c r="M369" s="11"/>
      <c r="N369" s="11"/>
    </row>
    <row r="370" spans="1:14">
      <c r="A370" s="11" t="s">
        <v>439</v>
      </c>
      <c r="B370" s="10">
        <v>45662</v>
      </c>
      <c r="C370" s="11">
        <f>MONTH(Table1[[#This Row],[Ngày]])</f>
        <v>1</v>
      </c>
      <c r="D370" s="11">
        <f t="shared" si="11"/>
        <v>1</v>
      </c>
      <c r="E370" s="11" t="s">
        <v>61</v>
      </c>
      <c r="F370" s="11" t="s">
        <v>9</v>
      </c>
      <c r="G370" s="11" t="s">
        <v>28</v>
      </c>
      <c r="H370" s="32">
        <v>41</v>
      </c>
      <c r="I370" s="38">
        <f t="shared" si="12"/>
        <v>14350000</v>
      </c>
      <c r="K370" s="11"/>
      <c r="L370" s="10"/>
      <c r="M370" s="11"/>
      <c r="N370" s="11"/>
    </row>
    <row r="371" spans="1:14">
      <c r="A371" s="11" t="s">
        <v>440</v>
      </c>
      <c r="B371" s="10">
        <v>45702</v>
      </c>
      <c r="C371" s="11">
        <f>MONTH(Table1[[#This Row],[Ngày]])</f>
        <v>2</v>
      </c>
      <c r="D371" s="11">
        <f t="shared" si="11"/>
        <v>1</v>
      </c>
      <c r="E371" s="11" t="s">
        <v>59</v>
      </c>
      <c r="F371" s="11" t="s">
        <v>11</v>
      </c>
      <c r="G371" s="11" t="s">
        <v>27</v>
      </c>
      <c r="H371" s="32">
        <v>58</v>
      </c>
      <c r="I371" s="38">
        <f t="shared" si="12"/>
        <v>29000000</v>
      </c>
      <c r="K371" s="11"/>
      <c r="L371" s="10"/>
      <c r="M371" s="11"/>
      <c r="N371" s="11"/>
    </row>
    <row r="372" spans="1:14">
      <c r="A372" s="11" t="s">
        <v>441</v>
      </c>
      <c r="B372" s="10">
        <v>45714</v>
      </c>
      <c r="C372" s="11">
        <f>MONTH(Table1[[#This Row],[Ngày]])</f>
        <v>2</v>
      </c>
      <c r="D372" s="11">
        <f t="shared" si="11"/>
        <v>1</v>
      </c>
      <c r="E372" s="11" t="s">
        <v>61</v>
      </c>
      <c r="F372" s="11" t="s">
        <v>6</v>
      </c>
      <c r="G372" s="11" t="s">
        <v>28</v>
      </c>
      <c r="H372" s="32">
        <v>81</v>
      </c>
      <c r="I372" s="38">
        <f t="shared" si="12"/>
        <v>12150000</v>
      </c>
      <c r="K372" s="11"/>
      <c r="L372" s="10"/>
      <c r="M372" s="11"/>
      <c r="N372" s="11"/>
    </row>
    <row r="373" spans="1:14">
      <c r="A373" s="11" t="s">
        <v>442</v>
      </c>
      <c r="B373" s="10">
        <v>45716</v>
      </c>
      <c r="C373" s="11">
        <f>MONTH(Table1[[#This Row],[Ngày]])</f>
        <v>2</v>
      </c>
      <c r="D373" s="11">
        <f t="shared" si="11"/>
        <v>1</v>
      </c>
      <c r="E373" s="11" t="s">
        <v>64</v>
      </c>
      <c r="F373" s="11" t="s">
        <v>9</v>
      </c>
      <c r="G373" s="11" t="s">
        <v>28</v>
      </c>
      <c r="H373" s="32">
        <v>11</v>
      </c>
      <c r="I373" s="38">
        <f t="shared" si="12"/>
        <v>3850000</v>
      </c>
      <c r="K373" s="11"/>
      <c r="L373" s="10"/>
      <c r="M373" s="11"/>
      <c r="N373" s="11"/>
    </row>
    <row r="374" spans="1:14">
      <c r="A374" s="11" t="s">
        <v>443</v>
      </c>
      <c r="B374" s="10">
        <v>45677</v>
      </c>
      <c r="C374" s="11">
        <f>MONTH(Table1[[#This Row],[Ngày]])</f>
        <v>1</v>
      </c>
      <c r="D374" s="11">
        <f t="shared" si="11"/>
        <v>1</v>
      </c>
      <c r="E374" s="11" t="s">
        <v>59</v>
      </c>
      <c r="F374" s="11" t="s">
        <v>9</v>
      </c>
      <c r="G374" s="11" t="s">
        <v>27</v>
      </c>
      <c r="H374" s="32">
        <v>75</v>
      </c>
      <c r="I374" s="38">
        <f t="shared" si="12"/>
        <v>26250000</v>
      </c>
      <c r="K374" s="11"/>
      <c r="L374" s="10"/>
      <c r="M374" s="11"/>
      <c r="N374" s="11"/>
    </row>
    <row r="375" spans="1:14">
      <c r="A375" s="11" t="s">
        <v>444</v>
      </c>
      <c r="B375" s="10">
        <v>45682</v>
      </c>
      <c r="C375" s="11">
        <f>MONTH(Table1[[#This Row],[Ngày]])</f>
        <v>1</v>
      </c>
      <c r="D375" s="11">
        <f t="shared" si="11"/>
        <v>1</v>
      </c>
      <c r="E375" s="11" t="s">
        <v>64</v>
      </c>
      <c r="F375" s="11" t="s">
        <v>6</v>
      </c>
      <c r="G375" s="11" t="s">
        <v>27</v>
      </c>
      <c r="H375" s="32">
        <v>50</v>
      </c>
      <c r="I375" s="38">
        <f t="shared" si="12"/>
        <v>7500000</v>
      </c>
      <c r="K375" s="11"/>
      <c r="L375" s="10"/>
      <c r="M375" s="11"/>
      <c r="N375" s="11"/>
    </row>
    <row r="376" spans="1:14">
      <c r="A376" s="11" t="s">
        <v>445</v>
      </c>
      <c r="B376" s="10">
        <v>45663</v>
      </c>
      <c r="C376" s="11">
        <f>MONTH(Table1[[#This Row],[Ngày]])</f>
        <v>1</v>
      </c>
      <c r="D376" s="11">
        <f t="shared" si="11"/>
        <v>1</v>
      </c>
      <c r="E376" s="11" t="s">
        <v>61</v>
      </c>
      <c r="F376" s="11" t="s">
        <v>11</v>
      </c>
      <c r="G376" s="11" t="s">
        <v>27</v>
      </c>
      <c r="H376" s="32">
        <v>33</v>
      </c>
      <c r="I376" s="38">
        <f t="shared" si="12"/>
        <v>16500000</v>
      </c>
      <c r="K376" s="11"/>
      <c r="L376" s="10"/>
      <c r="M376" s="11"/>
      <c r="N376" s="11"/>
    </row>
    <row r="377" spans="1:14">
      <c r="A377" s="11" t="s">
        <v>446</v>
      </c>
      <c r="B377" s="10">
        <v>45667</v>
      </c>
      <c r="C377" s="11">
        <f>MONTH(Table1[[#This Row],[Ngày]])</f>
        <v>1</v>
      </c>
      <c r="D377" s="11">
        <f t="shared" si="11"/>
        <v>1</v>
      </c>
      <c r="E377" s="11" t="s">
        <v>59</v>
      </c>
      <c r="F377" s="11" t="s">
        <v>6</v>
      </c>
      <c r="G377" s="11" t="s">
        <v>27</v>
      </c>
      <c r="H377" s="32">
        <v>95</v>
      </c>
      <c r="I377" s="38">
        <f t="shared" si="12"/>
        <v>14250000</v>
      </c>
      <c r="K377" s="11"/>
      <c r="L377" s="10"/>
      <c r="M377" s="11"/>
      <c r="N377" s="11"/>
    </row>
    <row r="378" spans="1:14">
      <c r="A378" s="11" t="s">
        <v>447</v>
      </c>
      <c r="B378" s="10">
        <v>45718</v>
      </c>
      <c r="C378" s="11">
        <f>MONTH(Table1[[#This Row],[Ngày]])</f>
        <v>3</v>
      </c>
      <c r="D378" s="11">
        <f t="shared" si="11"/>
        <v>1</v>
      </c>
      <c r="E378" s="11" t="s">
        <v>64</v>
      </c>
      <c r="F378" s="11" t="s">
        <v>9</v>
      </c>
      <c r="G378" s="11" t="s">
        <v>28</v>
      </c>
      <c r="H378" s="32">
        <v>90</v>
      </c>
      <c r="I378" s="38">
        <f t="shared" si="12"/>
        <v>31500000</v>
      </c>
      <c r="K378" s="11"/>
      <c r="L378" s="10"/>
      <c r="M378" s="11"/>
      <c r="N378" s="11"/>
    </row>
    <row r="379" spans="1:14">
      <c r="A379" s="11" t="s">
        <v>448</v>
      </c>
      <c r="B379" s="10">
        <v>45700</v>
      </c>
      <c r="C379" s="11">
        <f>MONTH(Table1[[#This Row],[Ngày]])</f>
        <v>2</v>
      </c>
      <c r="D379" s="11">
        <f t="shared" si="11"/>
        <v>1</v>
      </c>
      <c r="E379" s="11" t="s">
        <v>59</v>
      </c>
      <c r="F379" s="11" t="s">
        <v>9</v>
      </c>
      <c r="G379" s="11" t="s">
        <v>27</v>
      </c>
      <c r="H379" s="32">
        <v>14</v>
      </c>
      <c r="I379" s="38">
        <f t="shared" si="12"/>
        <v>4900000</v>
      </c>
      <c r="K379" s="11"/>
      <c r="L379" s="10"/>
      <c r="M379" s="11"/>
      <c r="N379" s="11"/>
    </row>
    <row r="380" spans="1:14">
      <c r="A380" s="11" t="s">
        <v>449</v>
      </c>
      <c r="B380" s="10">
        <v>45701</v>
      </c>
      <c r="C380" s="11">
        <f>MONTH(Table1[[#This Row],[Ngày]])</f>
        <v>2</v>
      </c>
      <c r="D380" s="11">
        <f t="shared" si="11"/>
        <v>1</v>
      </c>
      <c r="E380" s="11" t="s">
        <v>61</v>
      </c>
      <c r="F380" s="11" t="s">
        <v>6</v>
      </c>
      <c r="G380" s="11" t="s">
        <v>28</v>
      </c>
      <c r="H380" s="32">
        <v>98</v>
      </c>
      <c r="I380" s="38">
        <f t="shared" si="12"/>
        <v>14700000</v>
      </c>
      <c r="K380" s="11"/>
      <c r="L380" s="10"/>
      <c r="M380" s="11"/>
      <c r="N380" s="11"/>
    </row>
    <row r="381" spans="1:14">
      <c r="A381" s="11" t="s">
        <v>450</v>
      </c>
      <c r="B381" s="10">
        <v>45675</v>
      </c>
      <c r="C381" s="11">
        <f>MONTH(Table1[[#This Row],[Ngày]])</f>
        <v>1</v>
      </c>
      <c r="D381" s="11">
        <f t="shared" si="11"/>
        <v>1</v>
      </c>
      <c r="E381" s="11" t="s">
        <v>51</v>
      </c>
      <c r="F381" s="11" t="s">
        <v>6</v>
      </c>
      <c r="G381" s="11" t="s">
        <v>28</v>
      </c>
      <c r="H381" s="32">
        <v>91</v>
      </c>
      <c r="I381" s="38">
        <f t="shared" si="12"/>
        <v>13650000</v>
      </c>
      <c r="K381" s="11"/>
      <c r="L381" s="10"/>
      <c r="M381" s="11"/>
      <c r="N381" s="11"/>
    </row>
    <row r="382" spans="1:14">
      <c r="A382" s="11" t="s">
        <v>451</v>
      </c>
      <c r="B382" s="10">
        <v>45715</v>
      </c>
      <c r="C382" s="11">
        <f>MONTH(Table1[[#This Row],[Ngày]])</f>
        <v>2</v>
      </c>
      <c r="D382" s="11">
        <f t="shared" si="11"/>
        <v>1</v>
      </c>
      <c r="E382" s="11" t="s">
        <v>55</v>
      </c>
      <c r="F382" s="11" t="s">
        <v>6</v>
      </c>
      <c r="G382" s="11" t="s">
        <v>27</v>
      </c>
      <c r="H382" s="32">
        <v>15</v>
      </c>
      <c r="I382" s="38">
        <f t="shared" si="12"/>
        <v>2250000</v>
      </c>
      <c r="K382" s="11"/>
      <c r="L382" s="10"/>
      <c r="M382" s="11"/>
      <c r="N382" s="11"/>
    </row>
    <row r="383" spans="1:14">
      <c r="A383" s="11" t="s">
        <v>452</v>
      </c>
      <c r="B383" s="10">
        <v>45673</v>
      </c>
      <c r="C383" s="11">
        <f>MONTH(Table1[[#This Row],[Ngày]])</f>
        <v>1</v>
      </c>
      <c r="D383" s="11">
        <f t="shared" si="11"/>
        <v>1</v>
      </c>
      <c r="E383" s="11" t="s">
        <v>61</v>
      </c>
      <c r="F383" s="11" t="s">
        <v>11</v>
      </c>
      <c r="G383" s="11" t="s">
        <v>28</v>
      </c>
      <c r="H383" s="32">
        <v>18</v>
      </c>
      <c r="I383" s="38">
        <f t="shared" si="12"/>
        <v>9000000</v>
      </c>
      <c r="K383" s="11"/>
      <c r="L383" s="10"/>
      <c r="M383" s="11"/>
      <c r="N383" s="11"/>
    </row>
    <row r="384" spans="1:14">
      <c r="A384" s="11" t="s">
        <v>453</v>
      </c>
      <c r="B384" s="10">
        <v>45701</v>
      </c>
      <c r="C384" s="11">
        <f>MONTH(Table1[[#This Row],[Ngày]])</f>
        <v>2</v>
      </c>
      <c r="D384" s="11">
        <f t="shared" si="11"/>
        <v>1</v>
      </c>
      <c r="E384" s="11" t="s">
        <v>51</v>
      </c>
      <c r="F384" s="11" t="s">
        <v>11</v>
      </c>
      <c r="G384" s="11" t="s">
        <v>27</v>
      </c>
      <c r="H384" s="32">
        <v>58</v>
      </c>
      <c r="I384" s="38">
        <f t="shared" si="12"/>
        <v>29000000</v>
      </c>
      <c r="K384" s="11"/>
      <c r="L384" s="10"/>
      <c r="M384" s="11"/>
      <c r="N384" s="11"/>
    </row>
    <row r="385" spans="1:14">
      <c r="A385" s="11" t="s">
        <v>454</v>
      </c>
      <c r="B385" s="10">
        <v>45670</v>
      </c>
      <c r="C385" s="11">
        <f>MONTH(Table1[[#This Row],[Ngày]])</f>
        <v>1</v>
      </c>
      <c r="D385" s="11">
        <f t="shared" si="11"/>
        <v>1</v>
      </c>
      <c r="E385" s="11" t="s">
        <v>61</v>
      </c>
      <c r="F385" s="11" t="s">
        <v>6</v>
      </c>
      <c r="G385" s="11" t="s">
        <v>28</v>
      </c>
      <c r="H385" s="32">
        <v>42</v>
      </c>
      <c r="I385" s="38">
        <f t="shared" si="12"/>
        <v>6300000</v>
      </c>
      <c r="K385" s="11"/>
      <c r="L385" s="10"/>
      <c r="M385" s="11"/>
      <c r="N385" s="11"/>
    </row>
    <row r="386" spans="1:14">
      <c r="A386" s="11" t="s">
        <v>455</v>
      </c>
      <c r="B386" s="10">
        <v>45662</v>
      </c>
      <c r="C386" s="11">
        <f>MONTH(Table1[[#This Row],[Ngày]])</f>
        <v>1</v>
      </c>
      <c r="D386" s="11">
        <f t="shared" ref="D386:D449" si="13">ROUNDUP($C386/3, 0)</f>
        <v>1</v>
      </c>
      <c r="E386" s="11" t="s">
        <v>61</v>
      </c>
      <c r="F386" s="11" t="s">
        <v>9</v>
      </c>
      <c r="G386" s="11" t="s">
        <v>28</v>
      </c>
      <c r="H386" s="32">
        <v>27</v>
      </c>
      <c r="I386" s="38">
        <f t="shared" ref="I386:I449" si="14">IF(F386="AS002", H386*350000,
IF(F386="AT001", H386*150000,
IF(F386="QT003", H386*500000, 0)))</f>
        <v>9450000</v>
      </c>
      <c r="K386" s="11"/>
      <c r="L386" s="10"/>
      <c r="M386" s="11"/>
      <c r="N386" s="11"/>
    </row>
    <row r="387" spans="1:14">
      <c r="A387" s="11" t="s">
        <v>456</v>
      </c>
      <c r="B387" s="10">
        <v>45692</v>
      </c>
      <c r="C387" s="11">
        <f>MONTH(Table1[[#This Row],[Ngày]])</f>
        <v>2</v>
      </c>
      <c r="D387" s="11">
        <f t="shared" si="13"/>
        <v>1</v>
      </c>
      <c r="E387" s="11" t="s">
        <v>51</v>
      </c>
      <c r="F387" s="11" t="s">
        <v>6</v>
      </c>
      <c r="G387" s="11" t="s">
        <v>27</v>
      </c>
      <c r="H387" s="32">
        <v>58</v>
      </c>
      <c r="I387" s="38">
        <f t="shared" si="14"/>
        <v>8700000</v>
      </c>
      <c r="K387" s="11"/>
      <c r="L387" s="10"/>
      <c r="M387" s="11"/>
      <c r="N387" s="11"/>
    </row>
    <row r="388" spans="1:14">
      <c r="A388" s="11" t="s">
        <v>457</v>
      </c>
      <c r="B388" s="10">
        <v>45676</v>
      </c>
      <c r="C388" s="11">
        <f>MONTH(Table1[[#This Row],[Ngày]])</f>
        <v>1</v>
      </c>
      <c r="D388" s="11">
        <f t="shared" si="13"/>
        <v>1</v>
      </c>
      <c r="E388" s="11" t="s">
        <v>61</v>
      </c>
      <c r="F388" s="11" t="s">
        <v>6</v>
      </c>
      <c r="G388" s="11" t="s">
        <v>27</v>
      </c>
      <c r="H388" s="32">
        <v>25</v>
      </c>
      <c r="I388" s="38">
        <f t="shared" si="14"/>
        <v>3750000</v>
      </c>
      <c r="K388" s="11"/>
      <c r="L388" s="10"/>
      <c r="M388" s="11"/>
      <c r="N388" s="11"/>
    </row>
    <row r="389" spans="1:14">
      <c r="A389" s="11" t="s">
        <v>458</v>
      </c>
      <c r="B389" s="10">
        <v>45689</v>
      </c>
      <c r="C389" s="11">
        <f>MONTH(Table1[[#This Row],[Ngày]])</f>
        <v>2</v>
      </c>
      <c r="D389" s="11">
        <f t="shared" si="13"/>
        <v>1</v>
      </c>
      <c r="E389" s="11" t="s">
        <v>55</v>
      </c>
      <c r="F389" s="11" t="s">
        <v>6</v>
      </c>
      <c r="G389" s="11" t="s">
        <v>28</v>
      </c>
      <c r="H389" s="32">
        <v>89</v>
      </c>
      <c r="I389" s="38">
        <f t="shared" si="14"/>
        <v>13350000</v>
      </c>
      <c r="K389" s="11"/>
      <c r="L389" s="10"/>
      <c r="M389" s="11"/>
      <c r="N389" s="11"/>
    </row>
    <row r="390" spans="1:14">
      <c r="A390" s="11" t="s">
        <v>459</v>
      </c>
      <c r="B390" s="10">
        <v>45691</v>
      </c>
      <c r="C390" s="11">
        <f>MONTH(Table1[[#This Row],[Ngày]])</f>
        <v>2</v>
      </c>
      <c r="D390" s="11">
        <f t="shared" si="13"/>
        <v>1</v>
      </c>
      <c r="E390" s="11" t="s">
        <v>64</v>
      </c>
      <c r="F390" s="11" t="s">
        <v>6</v>
      </c>
      <c r="G390" s="11" t="s">
        <v>28</v>
      </c>
      <c r="H390" s="32">
        <v>61</v>
      </c>
      <c r="I390" s="38">
        <f t="shared" si="14"/>
        <v>9150000</v>
      </c>
      <c r="K390" s="11"/>
      <c r="L390" s="10"/>
      <c r="M390" s="11"/>
      <c r="N390" s="11"/>
    </row>
    <row r="391" spans="1:14">
      <c r="A391" s="11" t="s">
        <v>460</v>
      </c>
      <c r="B391" s="10">
        <v>45665</v>
      </c>
      <c r="C391" s="11">
        <f>MONTH(Table1[[#This Row],[Ngày]])</f>
        <v>1</v>
      </c>
      <c r="D391" s="11">
        <f t="shared" si="13"/>
        <v>1</v>
      </c>
      <c r="E391" s="11" t="s">
        <v>55</v>
      </c>
      <c r="F391" s="11" t="s">
        <v>9</v>
      </c>
      <c r="G391" s="11" t="s">
        <v>27</v>
      </c>
      <c r="H391" s="32">
        <v>97</v>
      </c>
      <c r="I391" s="38">
        <f t="shared" si="14"/>
        <v>33950000</v>
      </c>
      <c r="K391" s="11"/>
      <c r="L391" s="10"/>
      <c r="M391" s="11"/>
      <c r="N391" s="11"/>
    </row>
    <row r="392" spans="1:14">
      <c r="A392" s="11" t="s">
        <v>461</v>
      </c>
      <c r="B392" s="10">
        <v>45709</v>
      </c>
      <c r="C392" s="11">
        <f>MONTH(Table1[[#This Row],[Ngày]])</f>
        <v>2</v>
      </c>
      <c r="D392" s="11">
        <f t="shared" si="13"/>
        <v>1</v>
      </c>
      <c r="E392" s="11" t="s">
        <v>64</v>
      </c>
      <c r="F392" s="11" t="s">
        <v>11</v>
      </c>
      <c r="G392" s="11" t="s">
        <v>27</v>
      </c>
      <c r="H392" s="32">
        <v>23</v>
      </c>
      <c r="I392" s="38">
        <f t="shared" si="14"/>
        <v>11500000</v>
      </c>
      <c r="K392" s="11"/>
      <c r="L392" s="10"/>
      <c r="M392" s="11"/>
      <c r="N392" s="11"/>
    </row>
    <row r="393" spans="1:14">
      <c r="A393" s="11" t="s">
        <v>462</v>
      </c>
      <c r="B393" s="10">
        <v>45671</v>
      </c>
      <c r="C393" s="11">
        <f>MONTH(Table1[[#This Row],[Ngày]])</f>
        <v>1</v>
      </c>
      <c r="D393" s="11">
        <f t="shared" si="13"/>
        <v>1</v>
      </c>
      <c r="E393" s="11" t="s">
        <v>64</v>
      </c>
      <c r="F393" s="11" t="s">
        <v>6</v>
      </c>
      <c r="G393" s="11" t="s">
        <v>27</v>
      </c>
      <c r="H393" s="32">
        <v>32</v>
      </c>
      <c r="I393" s="38">
        <f t="shared" si="14"/>
        <v>4800000</v>
      </c>
      <c r="K393" s="11"/>
      <c r="L393" s="10"/>
      <c r="M393" s="11"/>
      <c r="N393" s="11"/>
    </row>
    <row r="394" spans="1:14">
      <c r="A394" s="11" t="s">
        <v>463</v>
      </c>
      <c r="B394" s="10">
        <v>45711</v>
      </c>
      <c r="C394" s="11">
        <f>MONTH(Table1[[#This Row],[Ngày]])</f>
        <v>2</v>
      </c>
      <c r="D394" s="11">
        <f t="shared" si="13"/>
        <v>1</v>
      </c>
      <c r="E394" s="11" t="s">
        <v>55</v>
      </c>
      <c r="F394" s="11" t="s">
        <v>6</v>
      </c>
      <c r="G394" s="11" t="s">
        <v>28</v>
      </c>
      <c r="H394" s="32">
        <v>23</v>
      </c>
      <c r="I394" s="38">
        <f t="shared" si="14"/>
        <v>3450000</v>
      </c>
      <c r="K394" s="11"/>
      <c r="L394" s="10"/>
      <c r="M394" s="11"/>
      <c r="N394" s="11"/>
    </row>
    <row r="395" spans="1:14">
      <c r="A395" s="11" t="s">
        <v>464</v>
      </c>
      <c r="B395" s="10">
        <v>45700</v>
      </c>
      <c r="C395" s="11">
        <f>MONTH(Table1[[#This Row],[Ngày]])</f>
        <v>2</v>
      </c>
      <c r="D395" s="11">
        <f t="shared" si="13"/>
        <v>1</v>
      </c>
      <c r="E395" s="11" t="s">
        <v>51</v>
      </c>
      <c r="F395" s="11" t="s">
        <v>11</v>
      </c>
      <c r="G395" s="11" t="s">
        <v>28</v>
      </c>
      <c r="H395" s="32">
        <v>99</v>
      </c>
      <c r="I395" s="38">
        <f t="shared" si="14"/>
        <v>49500000</v>
      </c>
      <c r="K395" s="11"/>
      <c r="L395" s="10"/>
      <c r="M395" s="11"/>
      <c r="N395" s="11"/>
    </row>
    <row r="396" spans="1:14">
      <c r="A396" s="11" t="s">
        <v>465</v>
      </c>
      <c r="B396" s="10">
        <v>45677</v>
      </c>
      <c r="C396" s="11">
        <f>MONTH(Table1[[#This Row],[Ngày]])</f>
        <v>1</v>
      </c>
      <c r="D396" s="11">
        <f t="shared" si="13"/>
        <v>1</v>
      </c>
      <c r="E396" s="11" t="s">
        <v>61</v>
      </c>
      <c r="F396" s="11" t="s">
        <v>6</v>
      </c>
      <c r="G396" s="11" t="s">
        <v>28</v>
      </c>
      <c r="H396" s="32">
        <v>27</v>
      </c>
      <c r="I396" s="38">
        <f t="shared" si="14"/>
        <v>4050000</v>
      </c>
      <c r="K396" s="11"/>
      <c r="L396" s="10"/>
      <c r="M396" s="11"/>
      <c r="N396" s="11"/>
    </row>
    <row r="397" spans="1:14">
      <c r="A397" s="11" t="s">
        <v>466</v>
      </c>
      <c r="B397" s="10">
        <v>45658</v>
      </c>
      <c r="C397" s="11">
        <f>MONTH(Table1[[#This Row],[Ngày]])</f>
        <v>1</v>
      </c>
      <c r="D397" s="11">
        <f t="shared" si="13"/>
        <v>1</v>
      </c>
      <c r="E397" s="11" t="s">
        <v>51</v>
      </c>
      <c r="F397" s="11" t="s">
        <v>6</v>
      </c>
      <c r="G397" s="11" t="s">
        <v>28</v>
      </c>
      <c r="H397" s="32">
        <v>24</v>
      </c>
      <c r="I397" s="38">
        <f t="shared" si="14"/>
        <v>3600000</v>
      </c>
      <c r="K397" s="11"/>
      <c r="L397" s="10"/>
      <c r="M397" s="11"/>
      <c r="N397" s="11"/>
    </row>
    <row r="398" spans="1:14">
      <c r="A398" s="11" t="s">
        <v>467</v>
      </c>
      <c r="B398" s="10">
        <v>45705</v>
      </c>
      <c r="C398" s="11">
        <f>MONTH(Table1[[#This Row],[Ngày]])</f>
        <v>2</v>
      </c>
      <c r="D398" s="11">
        <f t="shared" si="13"/>
        <v>1</v>
      </c>
      <c r="E398" s="11" t="s">
        <v>59</v>
      </c>
      <c r="F398" s="11" t="s">
        <v>6</v>
      </c>
      <c r="G398" s="11" t="s">
        <v>28</v>
      </c>
      <c r="H398" s="32">
        <v>24</v>
      </c>
      <c r="I398" s="38">
        <f t="shared" si="14"/>
        <v>3600000</v>
      </c>
      <c r="K398" s="11"/>
      <c r="L398" s="10"/>
      <c r="M398" s="11"/>
      <c r="N398" s="11"/>
    </row>
    <row r="399" spans="1:14">
      <c r="A399" s="11" t="s">
        <v>468</v>
      </c>
      <c r="B399" s="10">
        <v>45680</v>
      </c>
      <c r="C399" s="11">
        <f>MONTH(Table1[[#This Row],[Ngày]])</f>
        <v>1</v>
      </c>
      <c r="D399" s="11">
        <f t="shared" si="13"/>
        <v>1</v>
      </c>
      <c r="E399" s="11" t="s">
        <v>55</v>
      </c>
      <c r="F399" s="11" t="s">
        <v>6</v>
      </c>
      <c r="G399" s="11" t="s">
        <v>28</v>
      </c>
      <c r="H399" s="32">
        <v>11</v>
      </c>
      <c r="I399" s="38">
        <f t="shared" si="14"/>
        <v>1650000</v>
      </c>
      <c r="K399" s="11"/>
      <c r="L399" s="10"/>
      <c r="M399" s="11"/>
      <c r="N399" s="11"/>
    </row>
    <row r="400" spans="1:14">
      <c r="A400" s="11" t="s">
        <v>469</v>
      </c>
      <c r="B400" s="10">
        <v>45705</v>
      </c>
      <c r="C400" s="11">
        <f>MONTH(Table1[[#This Row],[Ngày]])</f>
        <v>2</v>
      </c>
      <c r="D400" s="11">
        <f t="shared" si="13"/>
        <v>1</v>
      </c>
      <c r="E400" s="11" t="s">
        <v>51</v>
      </c>
      <c r="F400" s="11" t="s">
        <v>9</v>
      </c>
      <c r="G400" s="11" t="s">
        <v>28</v>
      </c>
      <c r="H400" s="32">
        <v>67</v>
      </c>
      <c r="I400" s="38">
        <f t="shared" si="14"/>
        <v>23450000</v>
      </c>
      <c r="K400" s="11"/>
      <c r="L400" s="10"/>
      <c r="M400" s="11"/>
      <c r="N400" s="11"/>
    </row>
    <row r="401" spans="1:14">
      <c r="A401" s="11" t="s">
        <v>470</v>
      </c>
      <c r="B401" s="10">
        <v>45671</v>
      </c>
      <c r="C401" s="11">
        <f>MONTH(Table1[[#This Row],[Ngày]])</f>
        <v>1</v>
      </c>
      <c r="D401" s="11">
        <f t="shared" si="13"/>
        <v>1</v>
      </c>
      <c r="E401" s="11" t="s">
        <v>59</v>
      </c>
      <c r="F401" s="11" t="s">
        <v>11</v>
      </c>
      <c r="G401" s="11" t="s">
        <v>27</v>
      </c>
      <c r="H401" s="32">
        <v>96</v>
      </c>
      <c r="I401" s="38">
        <f t="shared" si="14"/>
        <v>48000000</v>
      </c>
      <c r="K401" s="11"/>
      <c r="L401" s="10"/>
      <c r="M401" s="11"/>
      <c r="N401" s="11"/>
    </row>
    <row r="402" spans="1:14">
      <c r="A402" s="11" t="s">
        <v>471</v>
      </c>
      <c r="B402" s="10">
        <v>45680</v>
      </c>
      <c r="C402" s="11">
        <f>MONTH(Table1[[#This Row],[Ngày]])</f>
        <v>1</v>
      </c>
      <c r="D402" s="11">
        <f t="shared" si="13"/>
        <v>1</v>
      </c>
      <c r="E402" s="11" t="s">
        <v>64</v>
      </c>
      <c r="F402" s="11" t="s">
        <v>11</v>
      </c>
      <c r="G402" s="11" t="s">
        <v>28</v>
      </c>
      <c r="H402" s="32">
        <v>18</v>
      </c>
      <c r="I402" s="38">
        <f t="shared" si="14"/>
        <v>9000000</v>
      </c>
      <c r="K402" s="11"/>
      <c r="L402" s="10"/>
      <c r="M402" s="11"/>
      <c r="N402" s="11"/>
    </row>
    <row r="403" spans="1:14">
      <c r="A403" s="11" t="s">
        <v>472</v>
      </c>
      <c r="B403" s="10">
        <v>45716</v>
      </c>
      <c r="C403" s="11">
        <f>MONTH(Table1[[#This Row],[Ngày]])</f>
        <v>2</v>
      </c>
      <c r="D403" s="11">
        <f t="shared" si="13"/>
        <v>1</v>
      </c>
      <c r="E403" s="11" t="s">
        <v>51</v>
      </c>
      <c r="F403" s="11" t="s">
        <v>6</v>
      </c>
      <c r="G403" s="11" t="s">
        <v>27</v>
      </c>
      <c r="H403" s="32">
        <v>58</v>
      </c>
      <c r="I403" s="38">
        <f t="shared" si="14"/>
        <v>8700000</v>
      </c>
      <c r="K403" s="11"/>
      <c r="L403" s="10"/>
      <c r="M403" s="11"/>
      <c r="N403" s="11"/>
    </row>
    <row r="404" spans="1:14">
      <c r="A404" s="11" t="s">
        <v>473</v>
      </c>
      <c r="B404" s="10">
        <v>45661</v>
      </c>
      <c r="C404" s="11">
        <f>MONTH(Table1[[#This Row],[Ngày]])</f>
        <v>1</v>
      </c>
      <c r="D404" s="11">
        <f t="shared" si="13"/>
        <v>1</v>
      </c>
      <c r="E404" s="11" t="s">
        <v>61</v>
      </c>
      <c r="F404" s="11" t="s">
        <v>9</v>
      </c>
      <c r="G404" s="11" t="s">
        <v>27</v>
      </c>
      <c r="H404" s="32">
        <v>94</v>
      </c>
      <c r="I404" s="38">
        <f t="shared" si="14"/>
        <v>32900000</v>
      </c>
      <c r="K404" s="11"/>
      <c r="L404" s="10"/>
      <c r="M404" s="11"/>
      <c r="N404" s="11"/>
    </row>
    <row r="405" spans="1:14">
      <c r="A405" s="11" t="s">
        <v>474</v>
      </c>
      <c r="B405" s="10">
        <v>45673</v>
      </c>
      <c r="C405" s="11">
        <f>MONTH(Table1[[#This Row],[Ngày]])</f>
        <v>1</v>
      </c>
      <c r="D405" s="11">
        <f t="shared" si="13"/>
        <v>1</v>
      </c>
      <c r="E405" s="11" t="s">
        <v>59</v>
      </c>
      <c r="F405" s="11" t="s">
        <v>6</v>
      </c>
      <c r="G405" s="11" t="s">
        <v>27</v>
      </c>
      <c r="H405" s="32">
        <v>35</v>
      </c>
      <c r="I405" s="38">
        <f t="shared" si="14"/>
        <v>5250000</v>
      </c>
      <c r="K405" s="11"/>
      <c r="L405" s="10"/>
      <c r="M405" s="11"/>
      <c r="N405" s="11"/>
    </row>
    <row r="406" spans="1:14">
      <c r="A406" s="11" t="s">
        <v>475</v>
      </c>
      <c r="B406" s="10">
        <v>45660</v>
      </c>
      <c r="C406" s="11">
        <f>MONTH(Table1[[#This Row],[Ngày]])</f>
        <v>1</v>
      </c>
      <c r="D406" s="11">
        <f t="shared" si="13"/>
        <v>1</v>
      </c>
      <c r="E406" s="11" t="s">
        <v>55</v>
      </c>
      <c r="F406" s="11" t="s">
        <v>6</v>
      </c>
      <c r="G406" s="11" t="s">
        <v>27</v>
      </c>
      <c r="H406" s="32">
        <v>71</v>
      </c>
      <c r="I406" s="38">
        <f t="shared" si="14"/>
        <v>10650000</v>
      </c>
      <c r="K406" s="11"/>
      <c r="L406" s="10"/>
      <c r="M406" s="11"/>
      <c r="N406" s="11"/>
    </row>
    <row r="407" spans="1:14">
      <c r="A407" s="11" t="s">
        <v>476</v>
      </c>
      <c r="B407" s="10">
        <v>45676</v>
      </c>
      <c r="C407" s="11">
        <f>MONTH(Table1[[#This Row],[Ngày]])</f>
        <v>1</v>
      </c>
      <c r="D407" s="11">
        <f t="shared" si="13"/>
        <v>1</v>
      </c>
      <c r="E407" s="11" t="s">
        <v>51</v>
      </c>
      <c r="F407" s="11" t="s">
        <v>11</v>
      </c>
      <c r="G407" s="11" t="s">
        <v>27</v>
      </c>
      <c r="H407" s="32">
        <v>92</v>
      </c>
      <c r="I407" s="38">
        <f t="shared" si="14"/>
        <v>46000000</v>
      </c>
      <c r="K407" s="11"/>
      <c r="L407" s="10"/>
      <c r="M407" s="11"/>
      <c r="N407" s="11"/>
    </row>
    <row r="408" spans="1:14">
      <c r="A408" s="11" t="s">
        <v>477</v>
      </c>
      <c r="B408" s="10">
        <v>45663</v>
      </c>
      <c r="C408" s="11">
        <f>MONTH(Table1[[#This Row],[Ngày]])</f>
        <v>1</v>
      </c>
      <c r="D408" s="11">
        <f t="shared" si="13"/>
        <v>1</v>
      </c>
      <c r="E408" s="11" t="s">
        <v>64</v>
      </c>
      <c r="F408" s="11" t="s">
        <v>9</v>
      </c>
      <c r="G408" s="11" t="s">
        <v>28</v>
      </c>
      <c r="H408" s="32">
        <v>15</v>
      </c>
      <c r="I408" s="38">
        <f t="shared" si="14"/>
        <v>5250000</v>
      </c>
      <c r="K408" s="11"/>
      <c r="L408" s="10"/>
      <c r="M408" s="11"/>
      <c r="N408" s="11"/>
    </row>
    <row r="409" spans="1:14">
      <c r="A409" s="11" t="s">
        <v>478</v>
      </c>
      <c r="B409" s="10">
        <v>45689</v>
      </c>
      <c r="C409" s="11">
        <f>MONTH(Table1[[#This Row],[Ngày]])</f>
        <v>2</v>
      </c>
      <c r="D409" s="11">
        <f t="shared" si="13"/>
        <v>1</v>
      </c>
      <c r="E409" s="11" t="s">
        <v>59</v>
      </c>
      <c r="F409" s="11" t="s">
        <v>6</v>
      </c>
      <c r="G409" s="11" t="s">
        <v>27</v>
      </c>
      <c r="H409" s="32">
        <v>32</v>
      </c>
      <c r="I409" s="38">
        <f t="shared" si="14"/>
        <v>4800000</v>
      </c>
      <c r="K409" s="11"/>
      <c r="L409" s="10"/>
      <c r="M409" s="11"/>
      <c r="N409" s="11"/>
    </row>
    <row r="410" spans="1:14">
      <c r="A410" s="11" t="s">
        <v>479</v>
      </c>
      <c r="B410" s="10">
        <v>45714</v>
      </c>
      <c r="C410" s="11">
        <f>MONTH(Table1[[#This Row],[Ngày]])</f>
        <v>2</v>
      </c>
      <c r="D410" s="11">
        <f t="shared" si="13"/>
        <v>1</v>
      </c>
      <c r="E410" s="11" t="s">
        <v>59</v>
      </c>
      <c r="F410" s="11" t="s">
        <v>9</v>
      </c>
      <c r="G410" s="11" t="s">
        <v>27</v>
      </c>
      <c r="H410" s="32">
        <v>38</v>
      </c>
      <c r="I410" s="38">
        <f t="shared" si="14"/>
        <v>13300000</v>
      </c>
      <c r="K410" s="11"/>
      <c r="L410" s="10"/>
      <c r="M410" s="11"/>
      <c r="N410" s="11"/>
    </row>
    <row r="411" spans="1:14">
      <c r="A411" s="11" t="s">
        <v>480</v>
      </c>
      <c r="B411" s="10">
        <v>45699</v>
      </c>
      <c r="C411" s="11">
        <f>MONTH(Table1[[#This Row],[Ngày]])</f>
        <v>2</v>
      </c>
      <c r="D411" s="11">
        <f t="shared" si="13"/>
        <v>1</v>
      </c>
      <c r="E411" s="11" t="s">
        <v>51</v>
      </c>
      <c r="F411" s="11" t="s">
        <v>6</v>
      </c>
      <c r="G411" s="11" t="s">
        <v>28</v>
      </c>
      <c r="H411" s="32">
        <v>43</v>
      </c>
      <c r="I411" s="38">
        <f t="shared" si="14"/>
        <v>6450000</v>
      </c>
      <c r="K411" s="11"/>
      <c r="L411" s="10"/>
      <c r="M411" s="11"/>
      <c r="N411" s="11"/>
    </row>
    <row r="412" spans="1:14">
      <c r="A412" s="11" t="s">
        <v>481</v>
      </c>
      <c r="B412" s="10">
        <v>45684</v>
      </c>
      <c r="C412" s="11">
        <f>MONTH(Table1[[#This Row],[Ngày]])</f>
        <v>1</v>
      </c>
      <c r="D412" s="11">
        <f t="shared" si="13"/>
        <v>1</v>
      </c>
      <c r="E412" s="11" t="s">
        <v>59</v>
      </c>
      <c r="F412" s="11" t="s">
        <v>6</v>
      </c>
      <c r="G412" s="11" t="s">
        <v>28</v>
      </c>
      <c r="H412" s="32">
        <v>97</v>
      </c>
      <c r="I412" s="38">
        <f t="shared" si="14"/>
        <v>14550000</v>
      </c>
      <c r="K412" s="11"/>
      <c r="L412" s="10"/>
      <c r="M412" s="11"/>
      <c r="N412" s="11"/>
    </row>
    <row r="413" spans="1:14">
      <c r="A413" s="11" t="s">
        <v>482</v>
      </c>
      <c r="B413" s="10">
        <v>45678</v>
      </c>
      <c r="C413" s="11">
        <f>MONTH(Table1[[#This Row],[Ngày]])</f>
        <v>1</v>
      </c>
      <c r="D413" s="11">
        <f t="shared" si="13"/>
        <v>1</v>
      </c>
      <c r="E413" s="11" t="s">
        <v>55</v>
      </c>
      <c r="F413" s="11" t="s">
        <v>11</v>
      </c>
      <c r="G413" s="11" t="s">
        <v>28</v>
      </c>
      <c r="H413" s="32">
        <v>88</v>
      </c>
      <c r="I413" s="38">
        <f t="shared" si="14"/>
        <v>44000000</v>
      </c>
      <c r="K413" s="11"/>
      <c r="L413" s="10"/>
      <c r="M413" s="11"/>
      <c r="N413" s="11"/>
    </row>
    <row r="414" spans="1:14">
      <c r="A414" s="11" t="s">
        <v>483</v>
      </c>
      <c r="B414" s="10">
        <v>45702</v>
      </c>
      <c r="C414" s="11">
        <f>MONTH(Table1[[#This Row],[Ngày]])</f>
        <v>2</v>
      </c>
      <c r="D414" s="11">
        <f t="shared" si="13"/>
        <v>1</v>
      </c>
      <c r="E414" s="11" t="s">
        <v>61</v>
      </c>
      <c r="F414" s="11" t="s">
        <v>11</v>
      </c>
      <c r="G414" s="11" t="s">
        <v>27</v>
      </c>
      <c r="H414" s="32">
        <v>59</v>
      </c>
      <c r="I414" s="38">
        <f t="shared" si="14"/>
        <v>29500000</v>
      </c>
      <c r="K414" s="11"/>
      <c r="L414" s="10"/>
      <c r="M414" s="11"/>
      <c r="N414" s="11"/>
    </row>
    <row r="415" spans="1:14">
      <c r="A415" s="11" t="s">
        <v>484</v>
      </c>
      <c r="B415" s="10">
        <v>45672</v>
      </c>
      <c r="C415" s="11">
        <f>MONTH(Table1[[#This Row],[Ngày]])</f>
        <v>1</v>
      </c>
      <c r="D415" s="11">
        <f t="shared" si="13"/>
        <v>1</v>
      </c>
      <c r="E415" s="11" t="s">
        <v>59</v>
      </c>
      <c r="F415" s="11" t="s">
        <v>11</v>
      </c>
      <c r="G415" s="11" t="s">
        <v>28</v>
      </c>
      <c r="H415" s="32">
        <v>94</v>
      </c>
      <c r="I415" s="38">
        <f t="shared" si="14"/>
        <v>47000000</v>
      </c>
      <c r="K415" s="11"/>
      <c r="L415" s="10"/>
      <c r="M415" s="11"/>
      <c r="N415" s="11"/>
    </row>
    <row r="416" spans="1:14">
      <c r="A416" s="11" t="s">
        <v>485</v>
      </c>
      <c r="B416" s="10">
        <v>45698</v>
      </c>
      <c r="C416" s="11">
        <f>MONTH(Table1[[#This Row],[Ngày]])</f>
        <v>2</v>
      </c>
      <c r="D416" s="11">
        <f t="shared" si="13"/>
        <v>1</v>
      </c>
      <c r="E416" s="11" t="s">
        <v>51</v>
      </c>
      <c r="F416" s="11" t="s">
        <v>9</v>
      </c>
      <c r="G416" s="11" t="s">
        <v>27</v>
      </c>
      <c r="H416" s="32">
        <v>75</v>
      </c>
      <c r="I416" s="38">
        <f t="shared" si="14"/>
        <v>26250000</v>
      </c>
      <c r="K416" s="11"/>
      <c r="L416" s="10"/>
      <c r="M416" s="11"/>
      <c r="N416" s="11"/>
    </row>
    <row r="417" spans="1:14">
      <c r="A417" s="11" t="s">
        <v>486</v>
      </c>
      <c r="B417" s="10">
        <v>45712</v>
      </c>
      <c r="C417" s="11">
        <f>MONTH(Table1[[#This Row],[Ngày]])</f>
        <v>2</v>
      </c>
      <c r="D417" s="11">
        <f t="shared" si="13"/>
        <v>1</v>
      </c>
      <c r="E417" s="11" t="s">
        <v>64</v>
      </c>
      <c r="F417" s="11" t="s">
        <v>6</v>
      </c>
      <c r="G417" s="11" t="s">
        <v>28</v>
      </c>
      <c r="H417" s="32">
        <v>87</v>
      </c>
      <c r="I417" s="38">
        <f t="shared" si="14"/>
        <v>13050000</v>
      </c>
      <c r="K417" s="11"/>
      <c r="L417" s="10"/>
      <c r="M417" s="11"/>
      <c r="N417" s="11"/>
    </row>
    <row r="418" spans="1:14">
      <c r="A418" s="11" t="s">
        <v>487</v>
      </c>
      <c r="B418" s="10">
        <v>45717</v>
      </c>
      <c r="C418" s="11">
        <f>MONTH(Table1[[#This Row],[Ngày]])</f>
        <v>3</v>
      </c>
      <c r="D418" s="11">
        <f t="shared" si="13"/>
        <v>1</v>
      </c>
      <c r="E418" s="11" t="s">
        <v>51</v>
      </c>
      <c r="F418" s="11" t="s">
        <v>9</v>
      </c>
      <c r="G418" s="11" t="s">
        <v>27</v>
      </c>
      <c r="H418" s="32">
        <v>29</v>
      </c>
      <c r="I418" s="38">
        <f t="shared" si="14"/>
        <v>10150000</v>
      </c>
      <c r="K418" s="11"/>
      <c r="L418" s="10"/>
      <c r="M418" s="11"/>
      <c r="N418" s="11"/>
    </row>
    <row r="419" spans="1:14">
      <c r="A419" s="11" t="s">
        <v>488</v>
      </c>
      <c r="B419" s="10">
        <v>45682</v>
      </c>
      <c r="C419" s="11">
        <f>MONTH(Table1[[#This Row],[Ngày]])</f>
        <v>1</v>
      </c>
      <c r="D419" s="11">
        <f t="shared" si="13"/>
        <v>1</v>
      </c>
      <c r="E419" s="11" t="s">
        <v>59</v>
      </c>
      <c r="F419" s="11" t="s">
        <v>9</v>
      </c>
      <c r="G419" s="11" t="s">
        <v>28</v>
      </c>
      <c r="H419" s="32">
        <v>88</v>
      </c>
      <c r="I419" s="38">
        <f t="shared" si="14"/>
        <v>30800000</v>
      </c>
      <c r="K419" s="11"/>
      <c r="L419" s="10"/>
      <c r="M419" s="11"/>
      <c r="N419" s="11"/>
    </row>
    <row r="420" spans="1:14">
      <c r="A420" s="11" t="s">
        <v>489</v>
      </c>
      <c r="B420" s="10">
        <v>45695</v>
      </c>
      <c r="C420" s="11">
        <f>MONTH(Table1[[#This Row],[Ngày]])</f>
        <v>2</v>
      </c>
      <c r="D420" s="11">
        <f t="shared" si="13"/>
        <v>1</v>
      </c>
      <c r="E420" s="11" t="s">
        <v>64</v>
      </c>
      <c r="F420" s="11" t="s">
        <v>11</v>
      </c>
      <c r="G420" s="11" t="s">
        <v>28</v>
      </c>
      <c r="H420" s="32">
        <v>60</v>
      </c>
      <c r="I420" s="38">
        <f t="shared" si="14"/>
        <v>30000000</v>
      </c>
      <c r="K420" s="11"/>
      <c r="L420" s="10"/>
      <c r="M420" s="11"/>
      <c r="N420" s="11"/>
    </row>
    <row r="421" spans="1:14">
      <c r="A421" s="11" t="s">
        <v>490</v>
      </c>
      <c r="B421" s="10">
        <v>45706</v>
      </c>
      <c r="C421" s="11">
        <f>MONTH(Table1[[#This Row],[Ngày]])</f>
        <v>2</v>
      </c>
      <c r="D421" s="11">
        <f t="shared" si="13"/>
        <v>1</v>
      </c>
      <c r="E421" s="11" t="s">
        <v>61</v>
      </c>
      <c r="F421" s="11" t="s">
        <v>6</v>
      </c>
      <c r="G421" s="11" t="s">
        <v>27</v>
      </c>
      <c r="H421" s="32">
        <v>84</v>
      </c>
      <c r="I421" s="38">
        <f t="shared" si="14"/>
        <v>12600000</v>
      </c>
      <c r="K421" s="11"/>
      <c r="L421" s="10"/>
      <c r="M421" s="11"/>
      <c r="N421" s="11"/>
    </row>
    <row r="422" spans="1:14">
      <c r="A422" s="11" t="s">
        <v>491</v>
      </c>
      <c r="B422" s="10">
        <v>45677</v>
      </c>
      <c r="C422" s="11">
        <f>MONTH(Table1[[#This Row],[Ngày]])</f>
        <v>1</v>
      </c>
      <c r="D422" s="11">
        <f t="shared" si="13"/>
        <v>1</v>
      </c>
      <c r="E422" s="11" t="s">
        <v>55</v>
      </c>
      <c r="F422" s="11" t="s">
        <v>6</v>
      </c>
      <c r="G422" s="11" t="s">
        <v>28</v>
      </c>
      <c r="H422" s="32">
        <v>75</v>
      </c>
      <c r="I422" s="38">
        <f t="shared" si="14"/>
        <v>11250000</v>
      </c>
      <c r="K422" s="11"/>
      <c r="L422" s="10"/>
      <c r="M422" s="11"/>
      <c r="N422" s="11"/>
    </row>
    <row r="423" spans="1:14">
      <c r="A423" s="11" t="s">
        <v>492</v>
      </c>
      <c r="B423" s="10">
        <v>45709</v>
      </c>
      <c r="C423" s="11">
        <f>MONTH(Table1[[#This Row],[Ngày]])</f>
        <v>2</v>
      </c>
      <c r="D423" s="11">
        <f t="shared" si="13"/>
        <v>1</v>
      </c>
      <c r="E423" s="11" t="s">
        <v>59</v>
      </c>
      <c r="F423" s="11" t="s">
        <v>6</v>
      </c>
      <c r="G423" s="11" t="s">
        <v>28</v>
      </c>
      <c r="H423" s="32">
        <v>19</v>
      </c>
      <c r="I423" s="38">
        <f t="shared" si="14"/>
        <v>2850000</v>
      </c>
      <c r="K423" s="11"/>
      <c r="L423" s="10"/>
      <c r="M423" s="11"/>
      <c r="N423" s="11"/>
    </row>
    <row r="424" spans="1:14">
      <c r="A424" s="11" t="s">
        <v>493</v>
      </c>
      <c r="B424" s="10">
        <v>45667</v>
      </c>
      <c r="C424" s="11">
        <f>MONTH(Table1[[#This Row],[Ngày]])</f>
        <v>1</v>
      </c>
      <c r="D424" s="11">
        <f t="shared" si="13"/>
        <v>1</v>
      </c>
      <c r="E424" s="11" t="s">
        <v>59</v>
      </c>
      <c r="F424" s="11" t="s">
        <v>11</v>
      </c>
      <c r="G424" s="11" t="s">
        <v>27</v>
      </c>
      <c r="H424" s="32">
        <v>18</v>
      </c>
      <c r="I424" s="38">
        <f t="shared" si="14"/>
        <v>9000000</v>
      </c>
      <c r="K424" s="11"/>
      <c r="L424" s="10"/>
      <c r="M424" s="11"/>
      <c r="N424" s="11"/>
    </row>
    <row r="425" spans="1:14">
      <c r="A425" s="11" t="s">
        <v>494</v>
      </c>
      <c r="B425" s="10">
        <v>45697</v>
      </c>
      <c r="C425" s="11">
        <f>MONTH(Table1[[#This Row],[Ngày]])</f>
        <v>2</v>
      </c>
      <c r="D425" s="11">
        <f t="shared" si="13"/>
        <v>1</v>
      </c>
      <c r="E425" s="11" t="s">
        <v>59</v>
      </c>
      <c r="F425" s="11" t="s">
        <v>9</v>
      </c>
      <c r="G425" s="11" t="s">
        <v>28</v>
      </c>
      <c r="H425" s="32">
        <v>79</v>
      </c>
      <c r="I425" s="38">
        <f t="shared" si="14"/>
        <v>27650000</v>
      </c>
      <c r="K425" s="11"/>
      <c r="L425" s="10"/>
      <c r="M425" s="11"/>
      <c r="N425" s="11"/>
    </row>
    <row r="426" spans="1:14">
      <c r="A426" s="11" t="s">
        <v>495</v>
      </c>
      <c r="B426" s="10">
        <v>45681</v>
      </c>
      <c r="C426" s="11">
        <f>MONTH(Table1[[#This Row],[Ngày]])</f>
        <v>1</v>
      </c>
      <c r="D426" s="11">
        <f t="shared" si="13"/>
        <v>1</v>
      </c>
      <c r="E426" s="11" t="s">
        <v>59</v>
      </c>
      <c r="F426" s="11" t="s">
        <v>11</v>
      </c>
      <c r="G426" s="11" t="s">
        <v>27</v>
      </c>
      <c r="H426" s="32">
        <v>38</v>
      </c>
      <c r="I426" s="38">
        <f t="shared" si="14"/>
        <v>19000000</v>
      </c>
      <c r="K426" s="11"/>
      <c r="L426" s="10"/>
      <c r="M426" s="11"/>
      <c r="N426" s="11"/>
    </row>
    <row r="427" spans="1:14">
      <c r="A427" s="11" t="s">
        <v>496</v>
      </c>
      <c r="B427" s="10">
        <v>45671</v>
      </c>
      <c r="C427" s="11">
        <f>MONTH(Table1[[#This Row],[Ngày]])</f>
        <v>1</v>
      </c>
      <c r="D427" s="11">
        <f t="shared" si="13"/>
        <v>1</v>
      </c>
      <c r="E427" s="11" t="s">
        <v>64</v>
      </c>
      <c r="F427" s="11" t="s">
        <v>6</v>
      </c>
      <c r="G427" s="11" t="s">
        <v>28</v>
      </c>
      <c r="H427" s="32">
        <v>32</v>
      </c>
      <c r="I427" s="38">
        <f t="shared" si="14"/>
        <v>4800000</v>
      </c>
      <c r="K427" s="11"/>
      <c r="L427" s="10"/>
      <c r="M427" s="11"/>
      <c r="N427" s="11"/>
    </row>
    <row r="428" spans="1:14">
      <c r="A428" s="11" t="s">
        <v>497</v>
      </c>
      <c r="B428" s="10">
        <v>45666</v>
      </c>
      <c r="C428" s="11">
        <f>MONTH(Table1[[#This Row],[Ngày]])</f>
        <v>1</v>
      </c>
      <c r="D428" s="11">
        <f t="shared" si="13"/>
        <v>1</v>
      </c>
      <c r="E428" s="11" t="s">
        <v>51</v>
      </c>
      <c r="F428" s="11" t="s">
        <v>9</v>
      </c>
      <c r="G428" s="11" t="s">
        <v>28</v>
      </c>
      <c r="H428" s="32">
        <v>98</v>
      </c>
      <c r="I428" s="38">
        <f t="shared" si="14"/>
        <v>34300000</v>
      </c>
      <c r="K428" s="11"/>
      <c r="L428" s="10"/>
      <c r="M428" s="11"/>
      <c r="N428" s="11"/>
    </row>
    <row r="429" spans="1:14">
      <c r="A429" s="11" t="s">
        <v>498</v>
      </c>
      <c r="B429" s="10">
        <v>45714</v>
      </c>
      <c r="C429" s="11">
        <f>MONTH(Table1[[#This Row],[Ngày]])</f>
        <v>2</v>
      </c>
      <c r="D429" s="11">
        <f t="shared" si="13"/>
        <v>1</v>
      </c>
      <c r="E429" s="11" t="s">
        <v>61</v>
      </c>
      <c r="F429" s="11" t="s">
        <v>11</v>
      </c>
      <c r="G429" s="11" t="s">
        <v>28</v>
      </c>
      <c r="H429" s="32">
        <v>67</v>
      </c>
      <c r="I429" s="38">
        <f t="shared" si="14"/>
        <v>33500000</v>
      </c>
      <c r="K429" s="11"/>
      <c r="L429" s="10"/>
      <c r="M429" s="11"/>
      <c r="N429" s="11"/>
    </row>
    <row r="430" spans="1:14">
      <c r="A430" s="11" t="s">
        <v>499</v>
      </c>
      <c r="B430" s="10">
        <v>45696</v>
      </c>
      <c r="C430" s="11">
        <f>MONTH(Table1[[#This Row],[Ngày]])</f>
        <v>2</v>
      </c>
      <c r="D430" s="11">
        <f t="shared" si="13"/>
        <v>1</v>
      </c>
      <c r="E430" s="11" t="s">
        <v>59</v>
      </c>
      <c r="F430" s="11" t="s">
        <v>6</v>
      </c>
      <c r="G430" s="11" t="s">
        <v>27</v>
      </c>
      <c r="H430" s="32">
        <v>34</v>
      </c>
      <c r="I430" s="38">
        <f t="shared" si="14"/>
        <v>5100000</v>
      </c>
      <c r="K430" s="11"/>
      <c r="L430" s="10"/>
      <c r="M430" s="11"/>
      <c r="N430" s="11"/>
    </row>
    <row r="431" spans="1:14">
      <c r="A431" s="11" t="s">
        <v>500</v>
      </c>
      <c r="B431" s="10">
        <v>45674</v>
      </c>
      <c r="C431" s="11">
        <f>MONTH(Table1[[#This Row],[Ngày]])</f>
        <v>1</v>
      </c>
      <c r="D431" s="11">
        <f t="shared" si="13"/>
        <v>1</v>
      </c>
      <c r="E431" s="11" t="s">
        <v>55</v>
      </c>
      <c r="F431" s="11" t="s">
        <v>6</v>
      </c>
      <c r="G431" s="11" t="s">
        <v>28</v>
      </c>
      <c r="H431" s="32">
        <v>97</v>
      </c>
      <c r="I431" s="38">
        <f t="shared" si="14"/>
        <v>14550000</v>
      </c>
      <c r="K431" s="11"/>
      <c r="L431" s="10"/>
      <c r="M431" s="11"/>
      <c r="N431" s="11"/>
    </row>
    <row r="432" spans="1:14">
      <c r="A432" s="11" t="s">
        <v>501</v>
      </c>
      <c r="B432" s="10">
        <v>45693</v>
      </c>
      <c r="C432" s="11">
        <f>MONTH(Table1[[#This Row],[Ngày]])</f>
        <v>2</v>
      </c>
      <c r="D432" s="11">
        <f t="shared" si="13"/>
        <v>1</v>
      </c>
      <c r="E432" s="11" t="s">
        <v>59</v>
      </c>
      <c r="F432" s="11" t="s">
        <v>11</v>
      </c>
      <c r="G432" s="11" t="s">
        <v>28</v>
      </c>
      <c r="H432" s="32">
        <v>60</v>
      </c>
      <c r="I432" s="38">
        <f t="shared" si="14"/>
        <v>30000000</v>
      </c>
      <c r="K432" s="11"/>
      <c r="L432" s="10"/>
      <c r="M432" s="11"/>
      <c r="N432" s="11"/>
    </row>
    <row r="433" spans="1:14">
      <c r="A433" s="11" t="s">
        <v>502</v>
      </c>
      <c r="B433" s="10">
        <v>45661</v>
      </c>
      <c r="C433" s="11">
        <f>MONTH(Table1[[#This Row],[Ngày]])</f>
        <v>1</v>
      </c>
      <c r="D433" s="11">
        <f t="shared" si="13"/>
        <v>1</v>
      </c>
      <c r="E433" s="11" t="s">
        <v>64</v>
      </c>
      <c r="F433" s="11" t="s">
        <v>6</v>
      </c>
      <c r="G433" s="11" t="s">
        <v>27</v>
      </c>
      <c r="H433" s="32">
        <v>63</v>
      </c>
      <c r="I433" s="38">
        <f t="shared" si="14"/>
        <v>9450000</v>
      </c>
      <c r="K433" s="11"/>
      <c r="L433" s="10"/>
      <c r="M433" s="11"/>
      <c r="N433" s="11"/>
    </row>
    <row r="434" spans="1:14">
      <c r="A434" s="11" t="s">
        <v>503</v>
      </c>
      <c r="B434" s="10">
        <v>45713</v>
      </c>
      <c r="C434" s="11">
        <f>MONTH(Table1[[#This Row],[Ngày]])</f>
        <v>2</v>
      </c>
      <c r="D434" s="11">
        <f t="shared" si="13"/>
        <v>1</v>
      </c>
      <c r="E434" s="11" t="s">
        <v>55</v>
      </c>
      <c r="F434" s="11" t="s">
        <v>9</v>
      </c>
      <c r="G434" s="11" t="s">
        <v>28</v>
      </c>
      <c r="H434" s="32">
        <v>31</v>
      </c>
      <c r="I434" s="38">
        <f t="shared" si="14"/>
        <v>10850000</v>
      </c>
      <c r="K434" s="11"/>
      <c r="L434" s="10"/>
      <c r="M434" s="11"/>
      <c r="N434" s="11"/>
    </row>
    <row r="435" spans="1:14">
      <c r="A435" s="11" t="s">
        <v>504</v>
      </c>
      <c r="B435" s="10">
        <v>45659</v>
      </c>
      <c r="C435" s="11">
        <f>MONTH(Table1[[#This Row],[Ngày]])</f>
        <v>1</v>
      </c>
      <c r="D435" s="11">
        <f t="shared" si="13"/>
        <v>1</v>
      </c>
      <c r="E435" s="11" t="s">
        <v>64</v>
      </c>
      <c r="F435" s="11" t="s">
        <v>6</v>
      </c>
      <c r="G435" s="11" t="s">
        <v>28</v>
      </c>
      <c r="H435" s="32">
        <v>46</v>
      </c>
      <c r="I435" s="38">
        <f t="shared" si="14"/>
        <v>6900000</v>
      </c>
      <c r="K435" s="11"/>
      <c r="L435" s="10"/>
      <c r="M435" s="11"/>
      <c r="N435" s="11"/>
    </row>
    <row r="436" spans="1:14">
      <c r="A436" s="11" t="s">
        <v>505</v>
      </c>
      <c r="B436" s="10">
        <v>45693</v>
      </c>
      <c r="C436" s="11">
        <f>MONTH(Table1[[#This Row],[Ngày]])</f>
        <v>2</v>
      </c>
      <c r="D436" s="11">
        <f t="shared" si="13"/>
        <v>1</v>
      </c>
      <c r="E436" s="11" t="s">
        <v>61</v>
      </c>
      <c r="F436" s="11" t="s">
        <v>9</v>
      </c>
      <c r="G436" s="11" t="s">
        <v>27</v>
      </c>
      <c r="H436" s="32">
        <v>32</v>
      </c>
      <c r="I436" s="38">
        <f t="shared" si="14"/>
        <v>11200000</v>
      </c>
      <c r="K436" s="11"/>
      <c r="L436" s="10"/>
      <c r="M436" s="11"/>
      <c r="N436" s="11"/>
    </row>
    <row r="437" spans="1:14">
      <c r="A437" s="11" t="s">
        <v>506</v>
      </c>
      <c r="B437" s="10">
        <v>45663</v>
      </c>
      <c r="C437" s="11">
        <f>MONTH(Table1[[#This Row],[Ngày]])</f>
        <v>1</v>
      </c>
      <c r="D437" s="11">
        <f t="shared" si="13"/>
        <v>1</v>
      </c>
      <c r="E437" s="11" t="s">
        <v>51</v>
      </c>
      <c r="F437" s="11" t="s">
        <v>6</v>
      </c>
      <c r="G437" s="11" t="s">
        <v>28</v>
      </c>
      <c r="H437" s="32">
        <v>63</v>
      </c>
      <c r="I437" s="38">
        <f t="shared" si="14"/>
        <v>9450000</v>
      </c>
      <c r="K437" s="11"/>
      <c r="L437" s="10"/>
      <c r="M437" s="11"/>
      <c r="N437" s="11"/>
    </row>
    <row r="438" spans="1:14">
      <c r="A438" s="11" t="s">
        <v>507</v>
      </c>
      <c r="B438" s="10">
        <v>45687</v>
      </c>
      <c r="C438" s="11">
        <f>MONTH(Table1[[#This Row],[Ngày]])</f>
        <v>1</v>
      </c>
      <c r="D438" s="11">
        <f t="shared" si="13"/>
        <v>1</v>
      </c>
      <c r="E438" s="11" t="s">
        <v>61</v>
      </c>
      <c r="F438" s="11" t="s">
        <v>6</v>
      </c>
      <c r="G438" s="11" t="s">
        <v>28</v>
      </c>
      <c r="H438" s="32">
        <v>24</v>
      </c>
      <c r="I438" s="38">
        <f t="shared" si="14"/>
        <v>3600000</v>
      </c>
      <c r="K438" s="11"/>
      <c r="L438" s="10"/>
      <c r="M438" s="11"/>
      <c r="N438" s="11"/>
    </row>
    <row r="439" spans="1:14">
      <c r="A439" s="11" t="s">
        <v>508</v>
      </c>
      <c r="B439" s="10">
        <v>45678</v>
      </c>
      <c r="C439" s="11">
        <f>MONTH(Table1[[#This Row],[Ngày]])</f>
        <v>1</v>
      </c>
      <c r="D439" s="11">
        <f t="shared" si="13"/>
        <v>1</v>
      </c>
      <c r="E439" s="11" t="s">
        <v>64</v>
      </c>
      <c r="F439" s="11" t="s">
        <v>9</v>
      </c>
      <c r="G439" s="11" t="s">
        <v>28</v>
      </c>
      <c r="H439" s="32">
        <v>24</v>
      </c>
      <c r="I439" s="38">
        <f t="shared" si="14"/>
        <v>8400000</v>
      </c>
      <c r="K439" s="11"/>
      <c r="L439" s="10"/>
      <c r="M439" s="11"/>
      <c r="N439" s="11"/>
    </row>
    <row r="440" spans="1:14">
      <c r="A440" s="11" t="s">
        <v>509</v>
      </c>
      <c r="B440" s="10">
        <v>45660</v>
      </c>
      <c r="C440" s="11">
        <f>MONTH(Table1[[#This Row],[Ngày]])</f>
        <v>1</v>
      </c>
      <c r="D440" s="11">
        <f t="shared" si="13"/>
        <v>1</v>
      </c>
      <c r="E440" s="11" t="s">
        <v>61</v>
      </c>
      <c r="F440" s="11" t="s">
        <v>6</v>
      </c>
      <c r="G440" s="11" t="s">
        <v>28</v>
      </c>
      <c r="H440" s="32">
        <v>79</v>
      </c>
      <c r="I440" s="38">
        <f t="shared" si="14"/>
        <v>11850000</v>
      </c>
      <c r="K440" s="11"/>
      <c r="L440" s="10"/>
      <c r="M440" s="11"/>
      <c r="N440" s="11"/>
    </row>
    <row r="441" spans="1:14">
      <c r="A441" s="11" t="s">
        <v>510</v>
      </c>
      <c r="B441" s="10">
        <v>45700</v>
      </c>
      <c r="C441" s="11">
        <f>MONTH(Table1[[#This Row],[Ngày]])</f>
        <v>2</v>
      </c>
      <c r="D441" s="11">
        <f t="shared" si="13"/>
        <v>1</v>
      </c>
      <c r="E441" s="11" t="s">
        <v>64</v>
      </c>
      <c r="F441" s="11" t="s">
        <v>6</v>
      </c>
      <c r="G441" s="11" t="s">
        <v>28</v>
      </c>
      <c r="H441" s="32">
        <v>79</v>
      </c>
      <c r="I441" s="38">
        <f t="shared" si="14"/>
        <v>11850000</v>
      </c>
      <c r="K441" s="11"/>
      <c r="L441" s="10"/>
      <c r="M441" s="11"/>
      <c r="N441" s="11"/>
    </row>
    <row r="442" spans="1:14">
      <c r="A442" s="11" t="s">
        <v>511</v>
      </c>
      <c r="B442" s="10">
        <v>45671</v>
      </c>
      <c r="C442" s="11">
        <f>MONTH(Table1[[#This Row],[Ngày]])</f>
        <v>1</v>
      </c>
      <c r="D442" s="11">
        <f t="shared" si="13"/>
        <v>1</v>
      </c>
      <c r="E442" s="11" t="s">
        <v>61</v>
      </c>
      <c r="F442" s="11" t="s">
        <v>6</v>
      </c>
      <c r="G442" s="11" t="s">
        <v>27</v>
      </c>
      <c r="H442" s="32">
        <v>67</v>
      </c>
      <c r="I442" s="38">
        <f t="shared" si="14"/>
        <v>10050000</v>
      </c>
      <c r="K442" s="11"/>
      <c r="L442" s="10"/>
      <c r="M442" s="11"/>
      <c r="N442" s="11"/>
    </row>
    <row r="443" spans="1:14">
      <c r="A443" s="11" t="s">
        <v>512</v>
      </c>
      <c r="B443" s="10">
        <v>45707</v>
      </c>
      <c r="C443" s="11">
        <f>MONTH(Table1[[#This Row],[Ngày]])</f>
        <v>2</v>
      </c>
      <c r="D443" s="11">
        <f t="shared" si="13"/>
        <v>1</v>
      </c>
      <c r="E443" s="11" t="s">
        <v>64</v>
      </c>
      <c r="F443" s="11" t="s">
        <v>11</v>
      </c>
      <c r="G443" s="11" t="s">
        <v>27</v>
      </c>
      <c r="H443" s="32">
        <v>79</v>
      </c>
      <c r="I443" s="38">
        <f t="shared" si="14"/>
        <v>39500000</v>
      </c>
      <c r="K443" s="11"/>
      <c r="L443" s="10"/>
      <c r="M443" s="11"/>
      <c r="N443" s="11"/>
    </row>
    <row r="444" spans="1:14">
      <c r="A444" s="11" t="s">
        <v>513</v>
      </c>
      <c r="B444" s="10">
        <v>45691</v>
      </c>
      <c r="C444" s="11">
        <f>MONTH(Table1[[#This Row],[Ngày]])</f>
        <v>2</v>
      </c>
      <c r="D444" s="11">
        <f t="shared" si="13"/>
        <v>1</v>
      </c>
      <c r="E444" s="11" t="s">
        <v>51</v>
      </c>
      <c r="F444" s="11" t="s">
        <v>11</v>
      </c>
      <c r="G444" s="11" t="s">
        <v>28</v>
      </c>
      <c r="H444" s="32">
        <v>83</v>
      </c>
      <c r="I444" s="38">
        <f t="shared" si="14"/>
        <v>41500000</v>
      </c>
      <c r="K444" s="11"/>
      <c r="L444" s="10"/>
      <c r="M444" s="11"/>
      <c r="N444" s="11"/>
    </row>
    <row r="445" spans="1:14">
      <c r="A445" s="11" t="s">
        <v>514</v>
      </c>
      <c r="B445" s="10">
        <v>45681</v>
      </c>
      <c r="C445" s="11">
        <f>MONTH(Table1[[#This Row],[Ngày]])</f>
        <v>1</v>
      </c>
      <c r="D445" s="11">
        <f t="shared" si="13"/>
        <v>1</v>
      </c>
      <c r="E445" s="11" t="s">
        <v>59</v>
      </c>
      <c r="F445" s="11" t="s">
        <v>11</v>
      </c>
      <c r="G445" s="11" t="s">
        <v>28</v>
      </c>
      <c r="H445" s="32">
        <v>91</v>
      </c>
      <c r="I445" s="38">
        <f t="shared" si="14"/>
        <v>45500000</v>
      </c>
      <c r="K445" s="11"/>
      <c r="L445" s="10"/>
      <c r="M445" s="11"/>
      <c r="N445" s="11"/>
    </row>
    <row r="446" spans="1:14">
      <c r="A446" s="11" t="s">
        <v>515</v>
      </c>
      <c r="B446" s="10">
        <v>45659</v>
      </c>
      <c r="C446" s="11">
        <f>MONTH(Table1[[#This Row],[Ngày]])</f>
        <v>1</v>
      </c>
      <c r="D446" s="11">
        <f t="shared" si="13"/>
        <v>1</v>
      </c>
      <c r="E446" s="11" t="s">
        <v>51</v>
      </c>
      <c r="F446" s="11" t="s">
        <v>6</v>
      </c>
      <c r="G446" s="11" t="s">
        <v>28</v>
      </c>
      <c r="H446" s="32">
        <v>33</v>
      </c>
      <c r="I446" s="38">
        <f t="shared" si="14"/>
        <v>4950000</v>
      </c>
      <c r="K446" s="11"/>
      <c r="L446" s="10"/>
      <c r="M446" s="11"/>
      <c r="N446" s="11"/>
    </row>
    <row r="447" spans="1:14">
      <c r="A447" s="11" t="s">
        <v>516</v>
      </c>
      <c r="B447" s="10">
        <v>45673</v>
      </c>
      <c r="C447" s="11">
        <f>MONTH(Table1[[#This Row],[Ngày]])</f>
        <v>1</v>
      </c>
      <c r="D447" s="11">
        <f t="shared" si="13"/>
        <v>1</v>
      </c>
      <c r="E447" s="11" t="s">
        <v>51</v>
      </c>
      <c r="F447" s="11" t="s">
        <v>9</v>
      </c>
      <c r="G447" s="11" t="s">
        <v>28</v>
      </c>
      <c r="H447" s="32">
        <v>24</v>
      </c>
      <c r="I447" s="38">
        <f t="shared" si="14"/>
        <v>8400000</v>
      </c>
      <c r="K447" s="11"/>
      <c r="L447" s="10"/>
      <c r="M447" s="11"/>
      <c r="N447" s="11"/>
    </row>
    <row r="448" spans="1:14">
      <c r="A448" s="11" t="s">
        <v>517</v>
      </c>
      <c r="B448" s="10">
        <v>45695</v>
      </c>
      <c r="C448" s="11">
        <f>MONTH(Table1[[#This Row],[Ngày]])</f>
        <v>2</v>
      </c>
      <c r="D448" s="11">
        <f t="shared" si="13"/>
        <v>1</v>
      </c>
      <c r="E448" s="11" t="s">
        <v>61</v>
      </c>
      <c r="F448" s="11" t="s">
        <v>9</v>
      </c>
      <c r="G448" s="11" t="s">
        <v>27</v>
      </c>
      <c r="H448" s="32">
        <v>46</v>
      </c>
      <c r="I448" s="38">
        <f t="shared" si="14"/>
        <v>16100000</v>
      </c>
      <c r="K448" s="11"/>
      <c r="L448" s="10"/>
      <c r="M448" s="11"/>
      <c r="N448" s="11"/>
    </row>
    <row r="449" spans="1:14">
      <c r="A449" s="11" t="s">
        <v>518</v>
      </c>
      <c r="B449" s="10">
        <v>45696</v>
      </c>
      <c r="C449" s="11">
        <f>MONTH(Table1[[#This Row],[Ngày]])</f>
        <v>2</v>
      </c>
      <c r="D449" s="11">
        <f t="shared" si="13"/>
        <v>1</v>
      </c>
      <c r="E449" s="11" t="s">
        <v>51</v>
      </c>
      <c r="F449" s="11" t="s">
        <v>11</v>
      </c>
      <c r="G449" s="11" t="s">
        <v>28</v>
      </c>
      <c r="H449" s="32">
        <v>10</v>
      </c>
      <c r="I449" s="38">
        <f t="shared" si="14"/>
        <v>5000000</v>
      </c>
      <c r="K449" s="11"/>
      <c r="L449" s="10"/>
      <c r="M449" s="11"/>
      <c r="N449" s="11"/>
    </row>
    <row r="450" spans="1:14">
      <c r="A450" s="11" t="s">
        <v>519</v>
      </c>
      <c r="B450" s="10">
        <v>45715</v>
      </c>
      <c r="C450" s="11">
        <f>MONTH(Table1[[#This Row],[Ngày]])</f>
        <v>2</v>
      </c>
      <c r="D450" s="11">
        <f t="shared" ref="D450:D481" si="15">ROUNDUP($C450/3, 0)</f>
        <v>1</v>
      </c>
      <c r="E450" s="11" t="s">
        <v>55</v>
      </c>
      <c r="F450" s="11" t="s">
        <v>6</v>
      </c>
      <c r="G450" s="11" t="s">
        <v>27</v>
      </c>
      <c r="H450" s="32">
        <v>62</v>
      </c>
      <c r="I450" s="38">
        <f t="shared" ref="I450:I480" si="16">IF(F450="AS002", H450*350000,
IF(F450="AT001", H450*150000,
IF(F450="QT003", H450*500000, 0)))</f>
        <v>9300000</v>
      </c>
      <c r="K450" s="11"/>
      <c r="L450" s="10"/>
      <c r="M450" s="11"/>
      <c r="N450" s="11"/>
    </row>
    <row r="451" spans="1:14">
      <c r="A451" s="11" t="s">
        <v>520</v>
      </c>
      <c r="B451" s="10">
        <v>45708</v>
      </c>
      <c r="C451" s="11">
        <f>MONTH(Table1[[#This Row],[Ngày]])</f>
        <v>2</v>
      </c>
      <c r="D451" s="11">
        <f t="shared" si="15"/>
        <v>1</v>
      </c>
      <c r="E451" s="11" t="s">
        <v>64</v>
      </c>
      <c r="F451" s="11" t="s">
        <v>11</v>
      </c>
      <c r="G451" s="11" t="s">
        <v>27</v>
      </c>
      <c r="H451" s="32">
        <v>92</v>
      </c>
      <c r="I451" s="38">
        <f t="shared" si="16"/>
        <v>46000000</v>
      </c>
      <c r="K451" s="11"/>
      <c r="L451" s="10"/>
      <c r="M451" s="11"/>
      <c r="N451" s="11"/>
    </row>
    <row r="452" spans="1:14">
      <c r="A452" s="11" t="s">
        <v>521</v>
      </c>
      <c r="B452" s="10">
        <v>45666</v>
      </c>
      <c r="C452" s="11">
        <f>MONTH(Table1[[#This Row],[Ngày]])</f>
        <v>1</v>
      </c>
      <c r="D452" s="11">
        <f t="shared" si="15"/>
        <v>1</v>
      </c>
      <c r="E452" s="11" t="s">
        <v>59</v>
      </c>
      <c r="F452" s="11" t="s">
        <v>9</v>
      </c>
      <c r="G452" s="11" t="s">
        <v>27</v>
      </c>
      <c r="H452" s="32">
        <v>39</v>
      </c>
      <c r="I452" s="38">
        <f t="shared" si="16"/>
        <v>13650000</v>
      </c>
      <c r="K452" s="11"/>
      <c r="L452" s="10"/>
      <c r="M452" s="11"/>
      <c r="N452" s="11"/>
    </row>
    <row r="453" spans="1:14">
      <c r="A453" s="11" t="s">
        <v>522</v>
      </c>
      <c r="B453" s="10">
        <v>45678</v>
      </c>
      <c r="C453" s="11">
        <f>MONTH(Table1[[#This Row],[Ngày]])</f>
        <v>1</v>
      </c>
      <c r="D453" s="11">
        <f t="shared" si="15"/>
        <v>1</v>
      </c>
      <c r="E453" s="11" t="s">
        <v>59</v>
      </c>
      <c r="F453" s="11" t="s">
        <v>6</v>
      </c>
      <c r="G453" s="11" t="s">
        <v>27</v>
      </c>
      <c r="H453" s="32">
        <v>75</v>
      </c>
      <c r="I453" s="38">
        <f t="shared" si="16"/>
        <v>11250000</v>
      </c>
      <c r="K453" s="11"/>
      <c r="L453" s="10"/>
      <c r="M453" s="11"/>
      <c r="N453" s="11"/>
    </row>
    <row r="454" spans="1:14">
      <c r="A454" s="11" t="s">
        <v>523</v>
      </c>
      <c r="B454" s="10">
        <v>45693</v>
      </c>
      <c r="C454" s="11">
        <f>MONTH(Table1[[#This Row],[Ngày]])</f>
        <v>2</v>
      </c>
      <c r="D454" s="11">
        <f t="shared" si="15"/>
        <v>1</v>
      </c>
      <c r="E454" s="11" t="s">
        <v>51</v>
      </c>
      <c r="F454" s="11" t="s">
        <v>11</v>
      </c>
      <c r="G454" s="11" t="s">
        <v>27</v>
      </c>
      <c r="H454" s="32">
        <v>32</v>
      </c>
      <c r="I454" s="38">
        <f t="shared" si="16"/>
        <v>16000000</v>
      </c>
      <c r="K454" s="11"/>
      <c r="L454" s="10"/>
      <c r="M454" s="11"/>
      <c r="N454" s="11"/>
    </row>
    <row r="455" spans="1:14">
      <c r="A455" s="11" t="s">
        <v>524</v>
      </c>
      <c r="B455" s="10">
        <v>45683</v>
      </c>
      <c r="C455" s="11">
        <f>MONTH(Table1[[#This Row],[Ngày]])</f>
        <v>1</v>
      </c>
      <c r="D455" s="11">
        <f t="shared" si="15"/>
        <v>1</v>
      </c>
      <c r="E455" s="11" t="s">
        <v>64</v>
      </c>
      <c r="F455" s="11" t="s">
        <v>9</v>
      </c>
      <c r="G455" s="11" t="s">
        <v>28</v>
      </c>
      <c r="H455" s="32">
        <v>25</v>
      </c>
      <c r="I455" s="38">
        <f t="shared" si="16"/>
        <v>8750000</v>
      </c>
      <c r="K455" s="11"/>
      <c r="L455" s="10"/>
      <c r="M455" s="11"/>
      <c r="N455" s="11"/>
    </row>
    <row r="456" spans="1:14">
      <c r="A456" s="11" t="s">
        <v>525</v>
      </c>
      <c r="B456" s="10">
        <v>45674</v>
      </c>
      <c r="C456" s="11">
        <f>MONTH(Table1[[#This Row],[Ngày]])</f>
        <v>1</v>
      </c>
      <c r="D456" s="11">
        <f t="shared" si="15"/>
        <v>1</v>
      </c>
      <c r="E456" s="11" t="s">
        <v>59</v>
      </c>
      <c r="F456" s="11" t="s">
        <v>9</v>
      </c>
      <c r="G456" s="11" t="s">
        <v>27</v>
      </c>
      <c r="H456" s="32">
        <v>41</v>
      </c>
      <c r="I456" s="38">
        <f t="shared" si="16"/>
        <v>14350000</v>
      </c>
      <c r="K456" s="11"/>
      <c r="L456" s="10"/>
      <c r="M456" s="11"/>
      <c r="N456" s="11"/>
    </row>
    <row r="457" spans="1:14">
      <c r="A457" s="11" t="s">
        <v>526</v>
      </c>
      <c r="B457" s="10">
        <v>45664</v>
      </c>
      <c r="C457" s="11">
        <f>MONTH(Table1[[#This Row],[Ngày]])</f>
        <v>1</v>
      </c>
      <c r="D457" s="11">
        <f t="shared" si="15"/>
        <v>1</v>
      </c>
      <c r="E457" s="11" t="s">
        <v>59</v>
      </c>
      <c r="F457" s="11" t="s">
        <v>11</v>
      </c>
      <c r="G457" s="11" t="s">
        <v>28</v>
      </c>
      <c r="H457" s="32">
        <v>63</v>
      </c>
      <c r="I457" s="38">
        <f t="shared" si="16"/>
        <v>31500000</v>
      </c>
      <c r="K457" s="11"/>
      <c r="L457" s="10"/>
      <c r="M457" s="11"/>
      <c r="N457" s="11"/>
    </row>
    <row r="458" spans="1:14">
      <c r="A458" s="11" t="s">
        <v>527</v>
      </c>
      <c r="B458" s="10">
        <v>45698</v>
      </c>
      <c r="C458" s="11">
        <f>MONTH(Table1[[#This Row],[Ngày]])</f>
        <v>2</v>
      </c>
      <c r="D458" s="11">
        <f t="shared" si="15"/>
        <v>1</v>
      </c>
      <c r="E458" s="11" t="s">
        <v>61</v>
      </c>
      <c r="F458" s="11" t="s">
        <v>6</v>
      </c>
      <c r="G458" s="11" t="s">
        <v>27</v>
      </c>
      <c r="H458" s="32">
        <v>54</v>
      </c>
      <c r="I458" s="38">
        <f t="shared" si="16"/>
        <v>8100000</v>
      </c>
      <c r="K458" s="11"/>
      <c r="L458" s="10"/>
      <c r="M458" s="11"/>
      <c r="N458" s="11"/>
    </row>
    <row r="459" spans="1:14">
      <c r="A459" s="11" t="s">
        <v>528</v>
      </c>
      <c r="B459" s="10">
        <v>45669</v>
      </c>
      <c r="C459" s="11">
        <f>MONTH(Table1[[#This Row],[Ngày]])</f>
        <v>1</v>
      </c>
      <c r="D459" s="11">
        <f t="shared" si="15"/>
        <v>1</v>
      </c>
      <c r="E459" s="11" t="s">
        <v>59</v>
      </c>
      <c r="F459" s="11" t="s">
        <v>6</v>
      </c>
      <c r="G459" s="11" t="s">
        <v>28</v>
      </c>
      <c r="H459" s="32">
        <v>25</v>
      </c>
      <c r="I459" s="38">
        <f t="shared" si="16"/>
        <v>3750000</v>
      </c>
      <c r="K459" s="11"/>
      <c r="L459" s="10"/>
      <c r="M459" s="11"/>
      <c r="N459" s="11"/>
    </row>
    <row r="460" spans="1:14">
      <c r="A460" s="11" t="s">
        <v>529</v>
      </c>
      <c r="B460" s="10">
        <v>45711</v>
      </c>
      <c r="C460" s="11">
        <f>MONTH(Table1[[#This Row],[Ngày]])</f>
        <v>2</v>
      </c>
      <c r="D460" s="11">
        <f t="shared" si="15"/>
        <v>1</v>
      </c>
      <c r="E460" s="11" t="s">
        <v>51</v>
      </c>
      <c r="F460" s="11" t="s">
        <v>6</v>
      </c>
      <c r="G460" s="11" t="s">
        <v>27</v>
      </c>
      <c r="H460" s="32">
        <v>28</v>
      </c>
      <c r="I460" s="38">
        <f t="shared" si="16"/>
        <v>4200000</v>
      </c>
      <c r="K460" s="11"/>
      <c r="L460" s="10"/>
      <c r="M460" s="11"/>
      <c r="N460" s="11"/>
    </row>
    <row r="461" spans="1:14">
      <c r="A461" s="11" t="s">
        <v>530</v>
      </c>
      <c r="B461" s="10">
        <v>45717</v>
      </c>
      <c r="C461" s="11">
        <f>MONTH(Table1[[#This Row],[Ngày]])</f>
        <v>3</v>
      </c>
      <c r="D461" s="11">
        <f t="shared" si="15"/>
        <v>1</v>
      </c>
      <c r="E461" s="11" t="s">
        <v>61</v>
      </c>
      <c r="F461" s="11" t="s">
        <v>11</v>
      </c>
      <c r="G461" s="11" t="s">
        <v>27</v>
      </c>
      <c r="H461" s="32">
        <v>81</v>
      </c>
      <c r="I461" s="38">
        <f t="shared" si="16"/>
        <v>40500000</v>
      </c>
      <c r="K461" s="11"/>
      <c r="L461" s="10"/>
      <c r="M461" s="11"/>
      <c r="N461" s="11"/>
    </row>
    <row r="462" spans="1:14">
      <c r="A462" s="11" t="s">
        <v>531</v>
      </c>
      <c r="B462" s="10">
        <v>45688</v>
      </c>
      <c r="C462" s="11">
        <f>MONTH(Table1[[#This Row],[Ngày]])</f>
        <v>1</v>
      </c>
      <c r="D462" s="11">
        <f t="shared" si="15"/>
        <v>1</v>
      </c>
      <c r="E462" s="11" t="s">
        <v>51</v>
      </c>
      <c r="F462" s="11" t="s">
        <v>9</v>
      </c>
      <c r="G462" s="11" t="s">
        <v>28</v>
      </c>
      <c r="H462" s="32">
        <v>59</v>
      </c>
      <c r="I462" s="38">
        <f t="shared" si="16"/>
        <v>20650000</v>
      </c>
      <c r="K462" s="11"/>
      <c r="L462" s="10"/>
      <c r="M462" s="11"/>
      <c r="N462" s="11"/>
    </row>
    <row r="463" spans="1:14">
      <c r="A463" s="11" t="s">
        <v>532</v>
      </c>
      <c r="B463" s="10">
        <v>45666</v>
      </c>
      <c r="C463" s="11">
        <f>MONTH(Table1[[#This Row],[Ngày]])</f>
        <v>1</v>
      </c>
      <c r="D463" s="11">
        <f t="shared" si="15"/>
        <v>1</v>
      </c>
      <c r="E463" s="11" t="s">
        <v>64</v>
      </c>
      <c r="F463" s="11" t="s">
        <v>11</v>
      </c>
      <c r="G463" s="11" t="s">
        <v>28</v>
      </c>
      <c r="H463" s="32">
        <v>40</v>
      </c>
      <c r="I463" s="38">
        <f t="shared" si="16"/>
        <v>20000000</v>
      </c>
      <c r="K463" s="11"/>
      <c r="L463" s="10"/>
      <c r="M463" s="11"/>
      <c r="N463" s="11"/>
    </row>
    <row r="464" spans="1:14">
      <c r="A464" s="11" t="s">
        <v>533</v>
      </c>
      <c r="B464" s="10">
        <v>45687</v>
      </c>
      <c r="C464" s="11">
        <f>MONTH(Table1[[#This Row],[Ngày]])</f>
        <v>1</v>
      </c>
      <c r="D464" s="11">
        <f t="shared" si="15"/>
        <v>1</v>
      </c>
      <c r="E464" s="11" t="s">
        <v>59</v>
      </c>
      <c r="F464" s="11" t="s">
        <v>9</v>
      </c>
      <c r="G464" s="11" t="s">
        <v>28</v>
      </c>
      <c r="H464" s="32">
        <v>46</v>
      </c>
      <c r="I464" s="38">
        <f t="shared" si="16"/>
        <v>16100000</v>
      </c>
      <c r="K464" s="11"/>
      <c r="L464" s="10"/>
      <c r="M464" s="11"/>
      <c r="N464" s="11"/>
    </row>
    <row r="465" spans="1:14">
      <c r="A465" s="11" t="s">
        <v>534</v>
      </c>
      <c r="B465" s="10">
        <v>45690</v>
      </c>
      <c r="C465" s="11">
        <f>MONTH(Table1[[#This Row],[Ngày]])</f>
        <v>2</v>
      </c>
      <c r="D465" s="11">
        <f t="shared" si="15"/>
        <v>1</v>
      </c>
      <c r="E465" s="11" t="s">
        <v>55</v>
      </c>
      <c r="F465" s="11" t="s">
        <v>9</v>
      </c>
      <c r="G465" s="11" t="s">
        <v>27</v>
      </c>
      <c r="H465" s="32">
        <v>87</v>
      </c>
      <c r="I465" s="38">
        <f t="shared" si="16"/>
        <v>30450000</v>
      </c>
      <c r="K465" s="11"/>
      <c r="L465" s="10"/>
      <c r="M465" s="11"/>
      <c r="N465" s="11"/>
    </row>
    <row r="466" spans="1:14">
      <c r="A466" s="11" t="s">
        <v>535</v>
      </c>
      <c r="B466" s="10">
        <v>45697</v>
      </c>
      <c r="C466" s="11">
        <f>MONTH(Table1[[#This Row],[Ngày]])</f>
        <v>2</v>
      </c>
      <c r="D466" s="11">
        <f t="shared" si="15"/>
        <v>1</v>
      </c>
      <c r="E466" s="11" t="s">
        <v>55</v>
      </c>
      <c r="F466" s="11" t="s">
        <v>11</v>
      </c>
      <c r="G466" s="11" t="s">
        <v>27</v>
      </c>
      <c r="H466" s="32">
        <v>42</v>
      </c>
      <c r="I466" s="38">
        <f t="shared" si="16"/>
        <v>21000000</v>
      </c>
      <c r="K466" s="11"/>
      <c r="L466" s="10"/>
      <c r="M466" s="11"/>
      <c r="N466" s="11"/>
    </row>
    <row r="467" spans="1:14">
      <c r="A467" s="11" t="s">
        <v>536</v>
      </c>
      <c r="B467" s="10">
        <v>45674</v>
      </c>
      <c r="C467" s="11">
        <f>MONTH(Table1[[#This Row],[Ngày]])</f>
        <v>1</v>
      </c>
      <c r="D467" s="11">
        <f t="shared" si="15"/>
        <v>1</v>
      </c>
      <c r="E467" s="11" t="s">
        <v>59</v>
      </c>
      <c r="F467" s="11" t="s">
        <v>6</v>
      </c>
      <c r="G467" s="11" t="s">
        <v>27</v>
      </c>
      <c r="H467" s="32">
        <v>16</v>
      </c>
      <c r="I467" s="38">
        <f t="shared" si="16"/>
        <v>2400000</v>
      </c>
      <c r="K467" s="11"/>
      <c r="L467" s="10"/>
      <c r="M467" s="11"/>
      <c r="N467" s="11"/>
    </row>
    <row r="468" spans="1:14">
      <c r="A468" s="11" t="s">
        <v>537</v>
      </c>
      <c r="B468" s="10">
        <v>45672</v>
      </c>
      <c r="C468" s="11">
        <f>MONTH(Table1[[#This Row],[Ngày]])</f>
        <v>1</v>
      </c>
      <c r="D468" s="11">
        <f t="shared" si="15"/>
        <v>1</v>
      </c>
      <c r="E468" s="11" t="s">
        <v>59</v>
      </c>
      <c r="F468" s="11" t="s">
        <v>9</v>
      </c>
      <c r="G468" s="11" t="s">
        <v>28</v>
      </c>
      <c r="H468" s="32">
        <v>75</v>
      </c>
      <c r="I468" s="38">
        <f t="shared" si="16"/>
        <v>26250000</v>
      </c>
      <c r="K468" s="11"/>
      <c r="L468" s="10"/>
      <c r="M468" s="11"/>
      <c r="N468" s="11"/>
    </row>
    <row r="469" spans="1:14">
      <c r="A469" s="11" t="s">
        <v>538</v>
      </c>
      <c r="B469" s="10">
        <v>45702</v>
      </c>
      <c r="C469" s="11">
        <f>MONTH(Table1[[#This Row],[Ngày]])</f>
        <v>2</v>
      </c>
      <c r="D469" s="11">
        <f t="shared" si="15"/>
        <v>1</v>
      </c>
      <c r="E469" s="11" t="s">
        <v>64</v>
      </c>
      <c r="F469" s="11" t="s">
        <v>9</v>
      </c>
      <c r="G469" s="11" t="s">
        <v>27</v>
      </c>
      <c r="H469" s="32">
        <v>76</v>
      </c>
      <c r="I469" s="38">
        <f t="shared" si="16"/>
        <v>26600000</v>
      </c>
      <c r="K469" s="11"/>
      <c r="L469" s="10"/>
      <c r="M469" s="11"/>
      <c r="N469" s="11"/>
    </row>
    <row r="470" spans="1:14">
      <c r="A470" s="11" t="s">
        <v>539</v>
      </c>
      <c r="B470" s="10">
        <v>45687</v>
      </c>
      <c r="C470" s="11">
        <f>MONTH(Table1[[#This Row],[Ngày]])</f>
        <v>1</v>
      </c>
      <c r="D470" s="11">
        <f t="shared" si="15"/>
        <v>1</v>
      </c>
      <c r="E470" s="11" t="s">
        <v>59</v>
      </c>
      <c r="F470" s="11" t="s">
        <v>9</v>
      </c>
      <c r="G470" s="11" t="s">
        <v>28</v>
      </c>
      <c r="H470" s="32">
        <v>69</v>
      </c>
      <c r="I470" s="38">
        <f t="shared" si="16"/>
        <v>24150000</v>
      </c>
      <c r="K470" s="11"/>
      <c r="L470" s="10"/>
      <c r="M470" s="11"/>
      <c r="N470" s="11"/>
    </row>
    <row r="471" spans="1:14">
      <c r="A471" s="11" t="s">
        <v>540</v>
      </c>
      <c r="B471" s="10">
        <v>45684</v>
      </c>
      <c r="C471" s="11">
        <f>MONTH(Table1[[#This Row],[Ngày]])</f>
        <v>1</v>
      </c>
      <c r="D471" s="11">
        <f t="shared" si="15"/>
        <v>1</v>
      </c>
      <c r="E471" s="11" t="s">
        <v>51</v>
      </c>
      <c r="F471" s="11" t="s">
        <v>9</v>
      </c>
      <c r="G471" s="11" t="s">
        <v>27</v>
      </c>
      <c r="H471" s="32">
        <v>55</v>
      </c>
      <c r="I471" s="38">
        <f t="shared" si="16"/>
        <v>19250000</v>
      </c>
      <c r="K471" s="11"/>
      <c r="L471" s="10"/>
      <c r="M471" s="11"/>
      <c r="N471" s="11"/>
    </row>
    <row r="472" spans="1:14">
      <c r="A472" s="11" t="s">
        <v>541</v>
      </c>
      <c r="B472" s="10">
        <v>45685</v>
      </c>
      <c r="C472" s="11">
        <f>MONTH(Table1[[#This Row],[Ngày]])</f>
        <v>1</v>
      </c>
      <c r="D472" s="11">
        <f t="shared" si="15"/>
        <v>1</v>
      </c>
      <c r="E472" s="11" t="s">
        <v>55</v>
      </c>
      <c r="F472" s="11" t="s">
        <v>6</v>
      </c>
      <c r="G472" s="11" t="s">
        <v>27</v>
      </c>
      <c r="H472" s="32">
        <v>81</v>
      </c>
      <c r="I472" s="38">
        <f t="shared" si="16"/>
        <v>12150000</v>
      </c>
      <c r="K472" s="11"/>
      <c r="L472" s="10"/>
      <c r="M472" s="11"/>
      <c r="N472" s="11"/>
    </row>
    <row r="473" spans="1:14">
      <c r="A473" s="11" t="s">
        <v>542</v>
      </c>
      <c r="B473" s="10">
        <v>45706</v>
      </c>
      <c r="C473" s="11">
        <f>MONTH(Table1[[#This Row],[Ngày]])</f>
        <v>2</v>
      </c>
      <c r="D473" s="11">
        <f t="shared" si="15"/>
        <v>1</v>
      </c>
      <c r="E473" s="11" t="s">
        <v>61</v>
      </c>
      <c r="F473" s="11" t="s">
        <v>6</v>
      </c>
      <c r="G473" s="11" t="s">
        <v>27</v>
      </c>
      <c r="H473" s="32">
        <v>13</v>
      </c>
      <c r="I473" s="38">
        <f t="shared" si="16"/>
        <v>1950000</v>
      </c>
      <c r="K473" s="11"/>
      <c r="L473" s="10"/>
      <c r="M473" s="11"/>
      <c r="N473" s="11"/>
    </row>
    <row r="474" spans="1:14">
      <c r="A474" s="11" t="s">
        <v>543</v>
      </c>
      <c r="B474" s="10">
        <v>45694</v>
      </c>
      <c r="C474" s="11">
        <f>MONTH(Table1[[#This Row],[Ngày]])</f>
        <v>2</v>
      </c>
      <c r="D474" s="11">
        <f t="shared" si="15"/>
        <v>1</v>
      </c>
      <c r="E474" s="11" t="s">
        <v>61</v>
      </c>
      <c r="F474" s="11" t="s">
        <v>11</v>
      </c>
      <c r="G474" s="11" t="s">
        <v>28</v>
      </c>
      <c r="H474" s="32">
        <v>66</v>
      </c>
      <c r="I474" s="38">
        <f t="shared" si="16"/>
        <v>33000000</v>
      </c>
      <c r="K474" s="11"/>
      <c r="L474" s="10"/>
      <c r="M474" s="11"/>
      <c r="N474" s="11"/>
    </row>
    <row r="475" spans="1:14">
      <c r="A475" s="11" t="s">
        <v>544</v>
      </c>
      <c r="B475" s="10">
        <v>45673</v>
      </c>
      <c r="C475" s="11">
        <f>MONTH(Table1[[#This Row],[Ngày]])</f>
        <v>1</v>
      </c>
      <c r="D475" s="11">
        <f t="shared" si="15"/>
        <v>1</v>
      </c>
      <c r="E475" s="11" t="s">
        <v>51</v>
      </c>
      <c r="F475" s="11" t="s">
        <v>6</v>
      </c>
      <c r="G475" s="11" t="s">
        <v>28</v>
      </c>
      <c r="H475" s="32">
        <v>15</v>
      </c>
      <c r="I475" s="38">
        <f t="shared" si="16"/>
        <v>2250000</v>
      </c>
      <c r="K475" s="11"/>
      <c r="L475" s="10"/>
      <c r="M475" s="11"/>
      <c r="N475" s="11"/>
    </row>
    <row r="476" spans="1:14">
      <c r="A476" s="11" t="s">
        <v>545</v>
      </c>
      <c r="B476" s="10">
        <v>45694</v>
      </c>
      <c r="C476" s="11">
        <f>MONTH(Table1[[#This Row],[Ngày]])</f>
        <v>2</v>
      </c>
      <c r="D476" s="11">
        <f t="shared" si="15"/>
        <v>1</v>
      </c>
      <c r="E476" s="11" t="s">
        <v>64</v>
      </c>
      <c r="F476" s="11" t="s">
        <v>11</v>
      </c>
      <c r="G476" s="11" t="s">
        <v>27</v>
      </c>
      <c r="H476" s="32">
        <v>51</v>
      </c>
      <c r="I476" s="38">
        <f t="shared" si="16"/>
        <v>25500000</v>
      </c>
      <c r="K476" s="11"/>
      <c r="L476" s="10"/>
      <c r="M476" s="11"/>
      <c r="N476" s="11"/>
    </row>
    <row r="477" spans="1:14">
      <c r="A477" s="11" t="s">
        <v>546</v>
      </c>
      <c r="B477" s="10">
        <v>45694</v>
      </c>
      <c r="C477" s="11">
        <f>MONTH(Table1[[#This Row],[Ngày]])</f>
        <v>2</v>
      </c>
      <c r="D477" s="11">
        <f t="shared" si="15"/>
        <v>1</v>
      </c>
      <c r="E477" s="11" t="s">
        <v>55</v>
      </c>
      <c r="F477" s="11" t="s">
        <v>6</v>
      </c>
      <c r="G477" s="11" t="s">
        <v>28</v>
      </c>
      <c r="H477" s="32">
        <v>91</v>
      </c>
      <c r="I477" s="38">
        <f t="shared" si="16"/>
        <v>13650000</v>
      </c>
      <c r="K477" s="11"/>
      <c r="L477" s="10"/>
      <c r="M477" s="11"/>
      <c r="N477" s="11"/>
    </row>
    <row r="478" spans="1:14">
      <c r="A478" s="11" t="s">
        <v>547</v>
      </c>
      <c r="B478" s="10">
        <v>45661</v>
      </c>
      <c r="C478" s="11">
        <f>MONTH(Table1[[#This Row],[Ngày]])</f>
        <v>1</v>
      </c>
      <c r="D478" s="11">
        <f t="shared" si="15"/>
        <v>1</v>
      </c>
      <c r="E478" s="11" t="s">
        <v>64</v>
      </c>
      <c r="F478" s="11" t="s">
        <v>9</v>
      </c>
      <c r="G478" s="11" t="s">
        <v>28</v>
      </c>
      <c r="H478" s="32">
        <v>89</v>
      </c>
      <c r="I478" s="38">
        <f t="shared" si="16"/>
        <v>31150000</v>
      </c>
      <c r="K478" s="11"/>
      <c r="L478" s="10"/>
      <c r="M478" s="11"/>
      <c r="N478" s="11"/>
    </row>
    <row r="479" spans="1:14">
      <c r="A479" s="11" t="s">
        <v>548</v>
      </c>
      <c r="B479" s="10">
        <v>45668</v>
      </c>
      <c r="C479" s="11">
        <f>MONTH(Table1[[#This Row],[Ngày]])</f>
        <v>1</v>
      </c>
      <c r="D479" s="11">
        <f t="shared" si="15"/>
        <v>1</v>
      </c>
      <c r="E479" s="11" t="s">
        <v>55</v>
      </c>
      <c r="F479" s="11" t="s">
        <v>9</v>
      </c>
      <c r="G479" s="11" t="s">
        <v>28</v>
      </c>
      <c r="H479" s="32">
        <v>51</v>
      </c>
      <c r="I479" s="38">
        <f t="shared" si="16"/>
        <v>17850000</v>
      </c>
      <c r="K479" s="11"/>
      <c r="L479" s="10"/>
      <c r="M479" s="11"/>
      <c r="N479" s="11"/>
    </row>
    <row r="480" spans="1:14">
      <c r="A480" s="11" t="s">
        <v>549</v>
      </c>
      <c r="B480" s="10">
        <v>45716</v>
      </c>
      <c r="C480" s="11">
        <f>MONTH(Table1[[#This Row],[Ngày]])</f>
        <v>2</v>
      </c>
      <c r="D480" s="11">
        <f t="shared" si="15"/>
        <v>1</v>
      </c>
      <c r="E480" s="11" t="s">
        <v>55</v>
      </c>
      <c r="F480" s="11" t="s">
        <v>11</v>
      </c>
      <c r="G480" s="11" t="s">
        <v>27</v>
      </c>
      <c r="H480" s="32">
        <v>94</v>
      </c>
      <c r="I480" s="38">
        <f t="shared" si="16"/>
        <v>47000000</v>
      </c>
      <c r="K480" s="11"/>
      <c r="L480" s="10"/>
      <c r="M480" s="11"/>
      <c r="N480" s="11"/>
    </row>
    <row r="481" spans="1:14">
      <c r="A481" s="11" t="s">
        <v>550</v>
      </c>
      <c r="B481" s="10">
        <v>45670</v>
      </c>
      <c r="C481" s="11">
        <f>MONTH(Table1[[#This Row],[Ngày]])</f>
        <v>1</v>
      </c>
      <c r="D481" s="11">
        <f t="shared" si="15"/>
        <v>1</v>
      </c>
      <c r="E481" s="11" t="s">
        <v>61</v>
      </c>
      <c r="F481" s="11" t="s">
        <v>11</v>
      </c>
      <c r="G481" s="11" t="s">
        <v>27</v>
      </c>
      <c r="H481" s="32">
        <v>35</v>
      </c>
      <c r="I481" s="38">
        <f>IF(F481="AS002", H481*350000,
IF(F481="AT001", H481*150000,
IF(F481="QT003", H481*500000, 0)))</f>
        <v>17500000</v>
      </c>
      <c r="K481" s="11"/>
      <c r="L481" s="10"/>
      <c r="M481" s="11"/>
      <c r="N481" s="11"/>
    </row>
    <row r="482" spans="1:14">
      <c r="A482" s="11"/>
      <c r="B482" s="10"/>
      <c r="C482" s="11"/>
      <c r="D482" s="11"/>
      <c r="E482" s="11"/>
      <c r="F482" s="11"/>
      <c r="G482" s="11"/>
      <c r="H482" s="32"/>
      <c r="I482" s="32"/>
      <c r="K482" s="11"/>
      <c r="L482" s="10"/>
      <c r="M482" s="11"/>
      <c r="N482" s="11"/>
    </row>
    <row r="483" spans="1:14">
      <c r="A483" s="3"/>
      <c r="B483"/>
      <c r="K483" s="11"/>
      <c r="L483" s="10"/>
      <c r="M483" s="11"/>
      <c r="N483" s="11"/>
    </row>
    <row r="484" spans="1:14">
      <c r="B484"/>
      <c r="K484" s="11"/>
      <c r="L484" s="10"/>
      <c r="M484" s="11"/>
      <c r="N484" s="11"/>
    </row>
    <row r="485" spans="1:14">
      <c r="B485"/>
      <c r="K485" s="11"/>
      <c r="L485" s="10"/>
      <c r="M485" s="11"/>
      <c r="N485" s="11"/>
    </row>
    <row r="486" spans="1:14">
      <c r="B486"/>
      <c r="K486" s="11"/>
      <c r="L486" s="10"/>
      <c r="M486" s="11"/>
      <c r="N486" s="11"/>
    </row>
    <row r="487" spans="1:14">
      <c r="B487"/>
      <c r="K487" s="11"/>
      <c r="L487" s="10"/>
      <c r="M487" s="11"/>
      <c r="N487" s="11"/>
    </row>
    <row r="488" spans="1:14">
      <c r="B488"/>
      <c r="K488" s="11"/>
      <c r="L488" s="10"/>
      <c r="M488" s="11"/>
      <c r="N488" s="11"/>
    </row>
    <row r="489" spans="1:14">
      <c r="B489"/>
      <c r="K489" s="11"/>
      <c r="L489" s="10"/>
      <c r="M489" s="11"/>
      <c r="N489" s="11"/>
    </row>
    <row r="490" spans="1:14">
      <c r="B490"/>
      <c r="K490" s="11"/>
      <c r="L490" s="10"/>
      <c r="M490" s="11"/>
      <c r="N490" s="11"/>
    </row>
    <row r="491" spans="1:14">
      <c r="B491"/>
      <c r="K491" s="11"/>
      <c r="L491" s="10"/>
      <c r="M491" s="11"/>
      <c r="N491" s="11"/>
    </row>
    <row r="492" spans="1:14">
      <c r="B492"/>
      <c r="K492" s="11"/>
      <c r="L492" s="10"/>
      <c r="M492" s="11"/>
      <c r="N492" s="11"/>
    </row>
    <row r="493" spans="1:14">
      <c r="B493"/>
      <c r="K493" s="11"/>
      <c r="L493" s="10"/>
      <c r="M493" s="11"/>
      <c r="N493" s="11"/>
    </row>
    <row r="494" spans="1:14">
      <c r="B494"/>
      <c r="K494" s="11"/>
      <c r="L494" s="10"/>
      <c r="M494" s="11"/>
      <c r="N494" s="11"/>
    </row>
    <row r="495" spans="1:14">
      <c r="B495"/>
      <c r="K495" s="11"/>
      <c r="L495" s="10"/>
      <c r="M495" s="11"/>
      <c r="N495" s="11"/>
    </row>
    <row r="496" spans="1:14">
      <c r="B496"/>
      <c r="K496" s="11"/>
      <c r="L496" s="10"/>
      <c r="M496" s="11"/>
      <c r="N496" s="11"/>
    </row>
    <row r="497" spans="2:14">
      <c r="B497"/>
      <c r="K497" s="11"/>
      <c r="L497" s="10"/>
      <c r="M497" s="11"/>
      <c r="N497" s="11"/>
    </row>
    <row r="498" spans="2:14">
      <c r="B498"/>
      <c r="K498" s="11"/>
      <c r="L498" s="10"/>
      <c r="M498" s="11"/>
      <c r="N498" s="11"/>
    </row>
    <row r="499" spans="2:14">
      <c r="B499"/>
      <c r="K499" s="11"/>
      <c r="L499" s="10"/>
      <c r="M499" s="11"/>
      <c r="N499" s="11"/>
    </row>
    <row r="500" spans="2:14">
      <c r="B500"/>
      <c r="K500" s="11"/>
      <c r="L500" s="10"/>
      <c r="M500" s="11"/>
      <c r="N500" s="11"/>
    </row>
    <row r="501" spans="2:14">
      <c r="B501"/>
      <c r="K501" s="11"/>
      <c r="L501" s="10"/>
      <c r="M501" s="11"/>
      <c r="N501" s="11"/>
    </row>
    <row r="502" spans="2:14">
      <c r="K502" s="11"/>
      <c r="L502" s="10"/>
      <c r="M502" s="11"/>
      <c r="N502" s="11"/>
    </row>
    <row r="503" spans="2:14">
      <c r="K503" s="11"/>
      <c r="L503" s="10"/>
      <c r="M503" s="11"/>
      <c r="N503" s="11"/>
    </row>
    <row r="504" spans="2:14">
      <c r="K504" s="11"/>
      <c r="L504" s="10"/>
      <c r="M504" s="11"/>
      <c r="N504" s="11"/>
    </row>
    <row r="505" spans="2:14">
      <c r="K505" s="11"/>
      <c r="L505" s="10"/>
      <c r="M505" s="11"/>
      <c r="N505" s="11"/>
    </row>
    <row r="506" spans="2:14">
      <c r="K506" s="11"/>
      <c r="L506" s="10"/>
      <c r="M506" s="11"/>
      <c r="N506" s="11"/>
    </row>
    <row r="507" spans="2:14">
      <c r="K507" s="11"/>
      <c r="L507" s="10"/>
      <c r="M507" s="11"/>
      <c r="N507" s="11"/>
    </row>
    <row r="508" spans="2:14">
      <c r="K508" s="11"/>
      <c r="L508" s="10"/>
      <c r="M508" s="11"/>
      <c r="N508" s="11"/>
    </row>
    <row r="509" spans="2:14">
      <c r="K509" s="11"/>
      <c r="L509" s="10"/>
      <c r="M509" s="11"/>
      <c r="N509" s="11"/>
    </row>
    <row r="510" spans="2:14">
      <c r="K510" s="11"/>
      <c r="L510" s="10"/>
      <c r="M510" s="11"/>
      <c r="N510" s="11"/>
    </row>
    <row r="511" spans="2:14">
      <c r="K511" s="11"/>
      <c r="L511" s="10"/>
      <c r="M511" s="11"/>
      <c r="N511" s="11"/>
    </row>
    <row r="512" spans="2:14">
      <c r="K512" s="11"/>
      <c r="L512" s="10"/>
      <c r="M512" s="11"/>
      <c r="N512" s="11"/>
    </row>
    <row r="513" spans="11:14">
      <c r="K513" s="11"/>
      <c r="L513" s="10"/>
      <c r="M513" s="11"/>
      <c r="N513" s="11"/>
    </row>
    <row r="514" spans="11:14">
      <c r="K514" s="11"/>
      <c r="L514" s="10"/>
      <c r="M514" s="11"/>
      <c r="N514" s="11"/>
    </row>
    <row r="515" spans="11:14">
      <c r="K515" s="11"/>
      <c r="L515" s="10"/>
      <c r="M515" s="11"/>
      <c r="N515" s="11"/>
    </row>
    <row r="516" spans="11:14">
      <c r="K516" s="11"/>
      <c r="L516" s="10"/>
      <c r="M516" s="11"/>
      <c r="N516" s="11"/>
    </row>
    <row r="517" spans="11:14">
      <c r="K517" s="11"/>
      <c r="L517" s="10"/>
      <c r="M517" s="11"/>
      <c r="N517" s="11"/>
    </row>
    <row r="518" spans="11:14">
      <c r="K518" s="11"/>
      <c r="L518" s="10"/>
      <c r="M518" s="11"/>
      <c r="N518" s="11"/>
    </row>
    <row r="519" spans="11:14">
      <c r="K519" s="11"/>
      <c r="L519" s="10"/>
      <c r="M519" s="11"/>
      <c r="N519" s="11"/>
    </row>
    <row r="520" spans="11:14">
      <c r="K520" s="11"/>
      <c r="L520" s="10"/>
      <c r="M520" s="11"/>
      <c r="N520" s="11"/>
    </row>
    <row r="521" spans="11:14">
      <c r="K521" s="11"/>
      <c r="L521" s="10"/>
      <c r="M521" s="11"/>
      <c r="N521" s="11"/>
    </row>
  </sheetData>
  <dataConsolidate topLabels="1">
    <dataRefs count="1">
      <dataRef ref="G1:H481" sheet="Order"/>
    </dataRefs>
  </dataConsolidate>
  <mergeCells count="9">
    <mergeCell ref="AC1:AH1"/>
    <mergeCell ref="K17:O17"/>
    <mergeCell ref="K20:P20"/>
    <mergeCell ref="K2:N2"/>
    <mergeCell ref="K8:N8"/>
    <mergeCell ref="K11:N11"/>
    <mergeCell ref="K14:O14"/>
    <mergeCell ref="K1:P1"/>
    <mergeCell ref="S1:AA1"/>
  </mergeCells>
  <dataValidations count="7">
    <dataValidation type="list" allowBlank="1" showInputMessage="1" showErrorMessage="1" promptTitle="Note:" prompt="Nhập tên khách hàng" sqref="C502:C1048576 K43 K61 K58 K55 K64" xr:uid="{00000000-0002-0000-0600-000000000000}">
      <formula1>"Shop A,Shop B,Supermarket C,Agent D,E-commerce E"</formula1>
    </dataValidation>
    <dataValidation allowBlank="1" showInputMessage="1" showErrorMessage="1" sqref="K63 AF7 M33 F5:F6 K12 S4 K27 AG67:AH67 X67:Y67 K42:L42 K54:L54 K57:L57 K60:L60 O21:P21 E1:F1 F3 E4:E482 F8:F482 E502:F1048576 S2 V2 L30 K15 K18:L18 AC3:AC4 AF12 K21 K24 M24 W5:X6 K33 AC65 K3" xr:uid="{00000000-0002-0000-0600-000001000000}"/>
    <dataValidation type="list" allowBlank="1" showInputMessage="1" showErrorMessage="1" sqref="K7 U3 L22 M28 M31 N34" xr:uid="{00000000-0002-0000-0600-000002000000}">
      <formula1>"1,2,3"</formula1>
    </dataValidation>
    <dataValidation type="list" allowBlank="1" showInputMessage="1" showErrorMessage="1" sqref="K10 L16 L25 L28 K31 L34" xr:uid="{00000000-0002-0000-0600-000003000000}">
      <formula1>"North, South"</formula1>
    </dataValidation>
    <dataValidation type="list" allowBlank="1" showInputMessage="1" showErrorMessage="1" sqref="K13 V3 L19 M25 L31 M34" xr:uid="{00000000-0002-0000-0600-000004000000}">
      <formula1>"Shop A, Shop B, Supermarket C, Agent D, E-commerce E"</formula1>
    </dataValidation>
    <dataValidation type="list" allowBlank="1" showInputMessage="1" showErrorMessage="1" sqref="T3" xr:uid="{00000000-0002-0000-0600-000005000000}">
      <formula1>"North,South"</formula1>
    </dataValidation>
    <dataValidation type="list" allowBlank="1" showInputMessage="1" showErrorMessage="1" sqref="S3 K4" xr:uid="{00000000-0002-0000-0600-000006000000}">
      <formula1>"AT001,AS002,QT003"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Note:" prompt="Nhập mã sản phẩm" xr:uid="{00000000-0002-0000-0600-000007000000}">
          <x14:formula1>
            <xm:f>Product_BOM!$A$2:$A$4</xm:f>
          </x14:formula1>
          <xm:sqref>D502:D1048576</xm:sqref>
        </x14:dataValidation>
        <x14:dataValidation type="list" allowBlank="1" showInputMessage="1" showErrorMessage="1" xr:uid="{00000000-0002-0000-0600-000008000000}">
          <x14:formula1>
            <xm:f>Product_BOM!$A$2:$A$4</xm:f>
          </x14:formula1>
          <xm:sqref>K34 K22 K16 K19 K25 K28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58684-3BEA-447E-A969-2646DAE1E69E}">
  <sheetPr codeName="Trang_tính1">
    <tabColor theme="5" tint="-0.249977111117893"/>
  </sheetPr>
  <dimension ref="Q1:AI64"/>
  <sheetViews>
    <sheetView topLeftCell="C1" zoomScale="25" zoomScaleNormal="25" workbookViewId="0">
      <selection activeCell="P22" sqref="P22"/>
    </sheetView>
  </sheetViews>
  <sheetFormatPr defaultRowHeight="16.5"/>
  <cols>
    <col min="1" max="1" width="21.5546875" customWidth="1"/>
    <col min="2" max="2" width="17.77734375" bestFit="1" customWidth="1"/>
    <col min="3" max="5" width="18.109375" bestFit="1" customWidth="1"/>
    <col min="6" max="6" width="10.33203125" bestFit="1" customWidth="1"/>
    <col min="7" max="7" width="9.6640625" bestFit="1" customWidth="1"/>
    <col min="8" max="8" width="10.88671875" customWidth="1"/>
    <col min="9" max="9" width="17.77734375" bestFit="1" customWidth="1"/>
    <col min="10" max="12" width="18.109375" bestFit="1" customWidth="1"/>
    <col min="13" max="13" width="10.33203125" bestFit="1" customWidth="1"/>
    <col min="14" max="14" width="3" customWidth="1"/>
    <col min="15" max="15" width="16.33203125" bestFit="1" customWidth="1"/>
    <col min="16" max="16" width="15.21875" bestFit="1" customWidth="1"/>
    <col min="17" max="17" width="20.109375" bestFit="1" customWidth="1"/>
    <col min="18" max="20" width="22.88671875" bestFit="1" customWidth="1"/>
    <col min="21" max="21" width="13.33203125" bestFit="1" customWidth="1"/>
    <col min="22" max="22" width="3" bestFit="1" customWidth="1"/>
    <col min="23" max="23" width="3" customWidth="1"/>
    <col min="24" max="24" width="14.21875" bestFit="1" customWidth="1"/>
    <col min="25" max="25" width="21.88671875" bestFit="1" customWidth="1"/>
    <col min="26" max="26" width="3" bestFit="1" customWidth="1"/>
    <col min="27" max="27" width="4.109375" customWidth="1"/>
    <col min="28" max="28" width="20.6640625" bestFit="1" customWidth="1"/>
    <col min="29" max="31" width="22.88671875" bestFit="1" customWidth="1"/>
    <col min="32" max="32" width="13.33203125" bestFit="1" customWidth="1"/>
    <col min="33" max="33" width="9.6640625" customWidth="1"/>
    <col min="34" max="34" width="20.6640625" bestFit="1" customWidth="1"/>
    <col min="35" max="35" width="20.109375" bestFit="1" customWidth="1"/>
    <col min="36" max="36" width="16.33203125" customWidth="1"/>
    <col min="37" max="37" width="15.21875" customWidth="1"/>
    <col min="38" max="38" width="6.5546875" customWidth="1"/>
    <col min="39" max="39" width="6.6640625" customWidth="1"/>
    <col min="40" max="40" width="9.6640625" customWidth="1"/>
    <col min="41" max="97" width="3" bestFit="1" customWidth="1"/>
    <col min="98" max="98" width="4" bestFit="1" customWidth="1"/>
    <col min="99" max="99" width="9.6640625" bestFit="1" customWidth="1"/>
  </cols>
  <sheetData>
    <row r="1" spans="17:35">
      <c r="Q1" s="6" t="s">
        <v>551</v>
      </c>
      <c r="R1" s="6" t="s">
        <v>44</v>
      </c>
      <c r="X1" s="6" t="s">
        <v>40</v>
      </c>
      <c r="Y1" t="s">
        <v>552</v>
      </c>
      <c r="AB1" s="6" t="s">
        <v>551</v>
      </c>
      <c r="AC1" s="6" t="s">
        <v>44</v>
      </c>
      <c r="AH1" s="6" t="s">
        <v>43</v>
      </c>
      <c r="AI1" t="s">
        <v>551</v>
      </c>
    </row>
    <row r="2" spans="17:35">
      <c r="Q2" s="6" t="s">
        <v>40</v>
      </c>
      <c r="R2" t="s">
        <v>9</v>
      </c>
      <c r="S2" t="s">
        <v>6</v>
      </c>
      <c r="T2" t="s">
        <v>11</v>
      </c>
      <c r="U2" t="s">
        <v>553</v>
      </c>
      <c r="X2" s="4">
        <v>45658</v>
      </c>
      <c r="Y2" s="33">
        <v>41600000</v>
      </c>
      <c r="AB2" s="6" t="s">
        <v>43</v>
      </c>
      <c r="AC2" t="s">
        <v>9</v>
      </c>
      <c r="AD2" t="s">
        <v>6</v>
      </c>
      <c r="AE2" t="s">
        <v>11</v>
      </c>
      <c r="AF2" t="s">
        <v>553</v>
      </c>
      <c r="AH2" t="s">
        <v>51</v>
      </c>
      <c r="AI2" s="33">
        <v>5851</v>
      </c>
    </row>
    <row r="3" spans="17:35">
      <c r="Q3" s="4">
        <v>45658</v>
      </c>
      <c r="R3" s="33">
        <v>49</v>
      </c>
      <c r="S3" s="33">
        <v>163</v>
      </c>
      <c r="T3" s="33">
        <v>0</v>
      </c>
      <c r="U3" s="33">
        <v>212</v>
      </c>
      <c r="X3" s="4">
        <v>45659</v>
      </c>
      <c r="Y3" s="33">
        <v>225400000</v>
      </c>
      <c r="AB3" t="s">
        <v>51</v>
      </c>
      <c r="AC3" s="33">
        <v>2167</v>
      </c>
      <c r="AD3" s="33">
        <v>1722</v>
      </c>
      <c r="AE3" s="33">
        <v>1962</v>
      </c>
      <c r="AF3" s="33">
        <v>5851</v>
      </c>
      <c r="AH3" t="s">
        <v>55</v>
      </c>
      <c r="AI3" s="33">
        <v>4613</v>
      </c>
    </row>
    <row r="4" spans="17:35">
      <c r="Q4" s="4">
        <v>45659</v>
      </c>
      <c r="R4" s="33">
        <v>213</v>
      </c>
      <c r="S4" s="33">
        <v>79</v>
      </c>
      <c r="T4" s="33">
        <v>278</v>
      </c>
      <c r="U4" s="33">
        <v>570</v>
      </c>
      <c r="X4" s="4">
        <v>45660</v>
      </c>
      <c r="Y4" s="33">
        <v>235600000</v>
      </c>
      <c r="AB4" t="s">
        <v>55</v>
      </c>
      <c r="AC4" s="33">
        <v>1418</v>
      </c>
      <c r="AD4" s="33">
        <v>1564</v>
      </c>
      <c r="AE4" s="33">
        <v>1631</v>
      </c>
      <c r="AF4" s="33">
        <v>4613</v>
      </c>
      <c r="AH4" t="s">
        <v>59</v>
      </c>
      <c r="AI4" s="33">
        <v>4971</v>
      </c>
    </row>
    <row r="5" spans="17:35">
      <c r="Q5" s="4">
        <v>45660</v>
      </c>
      <c r="R5" s="33">
        <v>79</v>
      </c>
      <c r="S5" s="33">
        <v>283</v>
      </c>
      <c r="T5" s="33">
        <v>331</v>
      </c>
      <c r="U5" s="33">
        <v>693</v>
      </c>
      <c r="X5" s="4">
        <v>45661</v>
      </c>
      <c r="Y5" s="33">
        <v>219100000</v>
      </c>
      <c r="AB5" t="s">
        <v>59</v>
      </c>
      <c r="AC5" s="33">
        <v>1431</v>
      </c>
      <c r="AD5" s="33">
        <v>1815</v>
      </c>
      <c r="AE5" s="33">
        <v>1725</v>
      </c>
      <c r="AF5" s="33">
        <v>4971</v>
      </c>
      <c r="AH5" t="s">
        <v>64</v>
      </c>
      <c r="AI5" s="33">
        <v>5412</v>
      </c>
    </row>
    <row r="6" spans="17:35">
      <c r="Q6" s="4">
        <v>45661</v>
      </c>
      <c r="R6" s="33">
        <v>401</v>
      </c>
      <c r="S6" s="33">
        <v>265</v>
      </c>
      <c r="T6" s="33">
        <v>78</v>
      </c>
      <c r="U6" s="33">
        <v>744</v>
      </c>
      <c r="X6" s="4">
        <v>45662</v>
      </c>
      <c r="Y6" s="33">
        <v>103900000</v>
      </c>
      <c r="AB6" t="s">
        <v>64</v>
      </c>
      <c r="AC6" s="33">
        <v>1742</v>
      </c>
      <c r="AD6" s="33">
        <v>1916</v>
      </c>
      <c r="AE6" s="33">
        <v>1754</v>
      </c>
      <c r="AF6" s="33">
        <v>5412</v>
      </c>
      <c r="AH6" t="s">
        <v>61</v>
      </c>
      <c r="AI6" s="33">
        <v>5040</v>
      </c>
    </row>
    <row r="7" spans="17:35">
      <c r="Q7" s="4">
        <v>45662</v>
      </c>
      <c r="R7" s="33">
        <v>164</v>
      </c>
      <c r="S7" s="33">
        <v>60</v>
      </c>
      <c r="T7" s="33">
        <v>75</v>
      </c>
      <c r="U7" s="33">
        <v>299</v>
      </c>
      <c r="X7" s="4">
        <v>45663</v>
      </c>
      <c r="Y7" s="33">
        <v>109450000</v>
      </c>
      <c r="AB7" t="s">
        <v>61</v>
      </c>
      <c r="AC7" s="33">
        <v>1326</v>
      </c>
      <c r="AD7" s="33">
        <v>1867</v>
      </c>
      <c r="AE7" s="33">
        <v>1847</v>
      </c>
      <c r="AF7" s="33">
        <v>5040</v>
      </c>
      <c r="AH7" t="s">
        <v>553</v>
      </c>
      <c r="AI7" s="33">
        <v>25887</v>
      </c>
    </row>
    <row r="8" spans="17:35">
      <c r="Q8" s="4">
        <v>45663</v>
      </c>
      <c r="R8" s="33">
        <v>153</v>
      </c>
      <c r="S8" s="33">
        <v>186</v>
      </c>
      <c r="T8" s="33">
        <v>56</v>
      </c>
      <c r="U8" s="33">
        <v>395</v>
      </c>
      <c r="X8" s="4">
        <v>45664</v>
      </c>
      <c r="Y8" s="33">
        <v>136700000</v>
      </c>
      <c r="AB8" t="s">
        <v>553</v>
      </c>
      <c r="AC8" s="33">
        <v>8084</v>
      </c>
      <c r="AD8" s="33">
        <v>8884</v>
      </c>
      <c r="AE8" s="33">
        <v>8919</v>
      </c>
      <c r="AF8" s="33">
        <v>25887</v>
      </c>
    </row>
    <row r="9" spans="17:35">
      <c r="Q9" s="4">
        <v>45664</v>
      </c>
      <c r="R9" s="33">
        <v>45</v>
      </c>
      <c r="S9" s="33">
        <v>173</v>
      </c>
      <c r="T9" s="33">
        <v>190</v>
      </c>
      <c r="U9" s="33">
        <v>408</v>
      </c>
      <c r="X9" s="4">
        <v>45665</v>
      </c>
      <c r="Y9" s="33">
        <v>116850000</v>
      </c>
    </row>
    <row r="10" spans="17:35">
      <c r="Q10" s="4">
        <v>45665</v>
      </c>
      <c r="R10" s="33">
        <v>236</v>
      </c>
      <c r="S10" s="33">
        <v>185</v>
      </c>
      <c r="T10" s="33">
        <v>13</v>
      </c>
      <c r="U10" s="33">
        <v>434</v>
      </c>
      <c r="X10" s="4">
        <v>45666</v>
      </c>
      <c r="Y10" s="33">
        <v>163250000</v>
      </c>
      <c r="AB10" s="6" t="s">
        <v>551</v>
      </c>
      <c r="AC10" s="6" t="s">
        <v>44</v>
      </c>
      <c r="AH10" s="6" t="s">
        <v>44</v>
      </c>
      <c r="AI10" t="s">
        <v>551</v>
      </c>
    </row>
    <row r="11" spans="17:35">
      <c r="Q11" s="4">
        <v>45666</v>
      </c>
      <c r="R11" s="33">
        <v>174</v>
      </c>
      <c r="S11" s="33">
        <v>49</v>
      </c>
      <c r="T11" s="33">
        <v>190</v>
      </c>
      <c r="U11" s="33">
        <v>413</v>
      </c>
      <c r="X11" s="4">
        <v>45667</v>
      </c>
      <c r="Y11" s="33">
        <v>159950000</v>
      </c>
      <c r="AB11" s="6" t="s">
        <v>41</v>
      </c>
      <c r="AC11" t="s">
        <v>9</v>
      </c>
      <c r="AD11" t="s">
        <v>6</v>
      </c>
      <c r="AE11" t="s">
        <v>11</v>
      </c>
      <c r="AF11" t="s">
        <v>553</v>
      </c>
      <c r="AH11" t="s">
        <v>9</v>
      </c>
      <c r="AI11" s="33">
        <v>8084</v>
      </c>
    </row>
    <row r="12" spans="17:35">
      <c r="Q12" s="4">
        <v>45667</v>
      </c>
      <c r="R12" s="33">
        <v>160</v>
      </c>
      <c r="S12" s="33">
        <v>333</v>
      </c>
      <c r="T12" s="33">
        <v>108</v>
      </c>
      <c r="U12" s="33">
        <v>601</v>
      </c>
      <c r="X12" s="4">
        <v>45668</v>
      </c>
      <c r="Y12" s="33">
        <v>140350000</v>
      </c>
      <c r="AB12">
        <v>1</v>
      </c>
      <c r="AC12" s="33">
        <v>3922</v>
      </c>
      <c r="AD12" s="33">
        <v>4730</v>
      </c>
      <c r="AE12" s="33">
        <v>4273</v>
      </c>
      <c r="AF12" s="33">
        <v>12925</v>
      </c>
      <c r="AH12" t="s">
        <v>6</v>
      </c>
      <c r="AI12" s="33">
        <v>8884</v>
      </c>
    </row>
    <row r="13" spans="17:35">
      <c r="Q13" s="4">
        <v>45668</v>
      </c>
      <c r="R13" s="33">
        <v>131</v>
      </c>
      <c r="S13" s="33">
        <v>0</v>
      </c>
      <c r="T13" s="33">
        <v>189</v>
      </c>
      <c r="U13" s="33">
        <v>320</v>
      </c>
      <c r="X13" s="4">
        <v>45669</v>
      </c>
      <c r="Y13" s="33">
        <v>180800000</v>
      </c>
      <c r="AB13">
        <v>2</v>
      </c>
      <c r="AC13" s="33">
        <v>3956</v>
      </c>
      <c r="AD13" s="33">
        <v>3423</v>
      </c>
      <c r="AE13" s="33">
        <v>4125</v>
      </c>
      <c r="AF13" s="33">
        <v>11504</v>
      </c>
      <c r="AH13" t="s">
        <v>11</v>
      </c>
      <c r="AI13" s="33">
        <v>8919</v>
      </c>
    </row>
    <row r="14" spans="17:35">
      <c r="Q14" s="4">
        <v>45669</v>
      </c>
      <c r="R14" s="33">
        <v>184</v>
      </c>
      <c r="S14" s="33">
        <v>276</v>
      </c>
      <c r="T14" s="33">
        <v>150</v>
      </c>
      <c r="U14" s="33">
        <v>610</v>
      </c>
      <c r="X14" s="4">
        <v>45670</v>
      </c>
      <c r="Y14" s="33">
        <v>92950000</v>
      </c>
      <c r="AB14">
        <v>3</v>
      </c>
      <c r="AC14" s="33">
        <v>206</v>
      </c>
      <c r="AD14" s="33">
        <v>731</v>
      </c>
      <c r="AE14" s="33">
        <v>521</v>
      </c>
      <c r="AF14" s="33">
        <v>1458</v>
      </c>
      <c r="AH14" t="s">
        <v>553</v>
      </c>
      <c r="AI14" s="33">
        <v>25887</v>
      </c>
    </row>
    <row r="15" spans="17:35">
      <c r="Q15" s="4">
        <v>45670</v>
      </c>
      <c r="R15" s="33">
        <v>109</v>
      </c>
      <c r="S15" s="33">
        <v>42</v>
      </c>
      <c r="T15" s="33">
        <v>97</v>
      </c>
      <c r="U15" s="33">
        <v>248</v>
      </c>
      <c r="X15" s="4">
        <v>45671</v>
      </c>
      <c r="Y15" s="33">
        <v>181250000</v>
      </c>
      <c r="AB15" t="s">
        <v>553</v>
      </c>
      <c r="AC15" s="33">
        <v>8084</v>
      </c>
      <c r="AD15" s="33">
        <v>8884</v>
      </c>
      <c r="AE15" s="33">
        <v>8919</v>
      </c>
      <c r="AF15" s="33">
        <v>25887</v>
      </c>
    </row>
    <row r="16" spans="17:35">
      <c r="Q16" s="4">
        <v>45671</v>
      </c>
      <c r="R16" s="33">
        <v>0</v>
      </c>
      <c r="S16" s="33">
        <v>325</v>
      </c>
      <c r="T16" s="33">
        <v>265</v>
      </c>
      <c r="U16" s="33">
        <v>590</v>
      </c>
      <c r="X16" s="4">
        <v>45672</v>
      </c>
      <c r="Y16" s="33">
        <v>142150000</v>
      </c>
    </row>
    <row r="17" spans="17:35">
      <c r="Q17" s="4">
        <v>45672</v>
      </c>
      <c r="R17" s="33">
        <v>139</v>
      </c>
      <c r="S17" s="33">
        <v>0</v>
      </c>
      <c r="T17" s="33">
        <v>187</v>
      </c>
      <c r="U17" s="33">
        <v>326</v>
      </c>
      <c r="X17" s="4">
        <v>45673</v>
      </c>
      <c r="Y17" s="33">
        <v>203600000</v>
      </c>
      <c r="AB17" s="6" t="s">
        <v>551</v>
      </c>
      <c r="AC17" s="6" t="s">
        <v>44</v>
      </c>
      <c r="AH17" s="6" t="s">
        <v>45</v>
      </c>
      <c r="AI17" t="s">
        <v>551</v>
      </c>
    </row>
    <row r="18" spans="17:35">
      <c r="Q18" s="4">
        <v>45673</v>
      </c>
      <c r="R18" s="33">
        <v>202</v>
      </c>
      <c r="S18" s="33">
        <v>236</v>
      </c>
      <c r="T18" s="33">
        <v>195</v>
      </c>
      <c r="U18" s="33">
        <v>633</v>
      </c>
      <c r="X18" s="4">
        <v>45674</v>
      </c>
      <c r="Y18" s="33">
        <v>41800000</v>
      </c>
      <c r="AB18" s="6" t="s">
        <v>45</v>
      </c>
      <c r="AC18" t="s">
        <v>9</v>
      </c>
      <c r="AD18" t="s">
        <v>6</v>
      </c>
      <c r="AE18" t="s">
        <v>11</v>
      </c>
      <c r="AF18" t="s">
        <v>553</v>
      </c>
      <c r="AH18" t="s">
        <v>27</v>
      </c>
      <c r="AI18" s="33">
        <v>12808</v>
      </c>
    </row>
    <row r="19" spans="17:35">
      <c r="Q19" s="4">
        <v>45674</v>
      </c>
      <c r="R19" s="33">
        <v>41</v>
      </c>
      <c r="S19" s="33">
        <v>113</v>
      </c>
      <c r="T19" s="33">
        <v>21</v>
      </c>
      <c r="U19" s="33">
        <v>175</v>
      </c>
      <c r="X19" s="4">
        <v>45675</v>
      </c>
      <c r="Y19" s="33">
        <v>68500000</v>
      </c>
      <c r="AB19" t="s">
        <v>27</v>
      </c>
      <c r="AC19" s="33">
        <v>3780</v>
      </c>
      <c r="AD19" s="33">
        <v>4001</v>
      </c>
      <c r="AE19" s="33">
        <v>5027</v>
      </c>
      <c r="AF19" s="33">
        <v>12808</v>
      </c>
      <c r="AH19" t="s">
        <v>28</v>
      </c>
      <c r="AI19" s="33">
        <v>13079</v>
      </c>
    </row>
    <row r="20" spans="17:35">
      <c r="Q20" s="4">
        <v>45675</v>
      </c>
      <c r="R20" s="33">
        <v>19</v>
      </c>
      <c r="S20" s="33">
        <v>129</v>
      </c>
      <c r="T20" s="33">
        <v>85</v>
      </c>
      <c r="U20" s="33">
        <v>233</v>
      </c>
      <c r="X20" s="4">
        <v>45676</v>
      </c>
      <c r="Y20" s="33">
        <v>126850000</v>
      </c>
      <c r="AB20" t="s">
        <v>28</v>
      </c>
      <c r="AC20" s="33">
        <v>4304</v>
      </c>
      <c r="AD20" s="33">
        <v>4883</v>
      </c>
      <c r="AE20" s="33">
        <v>3892</v>
      </c>
      <c r="AF20" s="33">
        <v>13079</v>
      </c>
      <c r="AH20" t="s">
        <v>553</v>
      </c>
      <c r="AI20" s="33">
        <v>25887</v>
      </c>
    </row>
    <row r="21" spans="17:35">
      <c r="Q21" s="4">
        <v>45676</v>
      </c>
      <c r="R21" s="33">
        <v>0</v>
      </c>
      <c r="S21" s="33">
        <v>79</v>
      </c>
      <c r="T21" s="33">
        <v>230</v>
      </c>
      <c r="U21" s="33">
        <v>309</v>
      </c>
      <c r="X21" s="4">
        <v>45677</v>
      </c>
      <c r="Y21" s="33">
        <v>215050000</v>
      </c>
      <c r="AB21" t="s">
        <v>553</v>
      </c>
      <c r="AC21" s="33">
        <v>8084</v>
      </c>
      <c r="AD21" s="33">
        <v>8884</v>
      </c>
      <c r="AE21" s="33">
        <v>8919</v>
      </c>
      <c r="AF21" s="33">
        <v>25887</v>
      </c>
    </row>
    <row r="22" spans="17:35">
      <c r="Q22" s="4">
        <v>45677</v>
      </c>
      <c r="R22" s="33">
        <v>190</v>
      </c>
      <c r="S22" s="33">
        <v>297</v>
      </c>
      <c r="T22" s="33">
        <v>208</v>
      </c>
      <c r="U22" s="33">
        <v>695</v>
      </c>
      <c r="X22" s="4">
        <v>45678</v>
      </c>
      <c r="Y22" s="33">
        <v>155700000</v>
      </c>
    </row>
    <row r="23" spans="17:35">
      <c r="Q23" s="4">
        <v>45678</v>
      </c>
      <c r="R23" s="33">
        <v>148</v>
      </c>
      <c r="S23" s="33">
        <v>146</v>
      </c>
      <c r="T23" s="33">
        <v>164</v>
      </c>
      <c r="U23" s="33">
        <v>458</v>
      </c>
      <c r="X23" s="4">
        <v>45679</v>
      </c>
      <c r="Y23" s="33">
        <v>73750000</v>
      </c>
    </row>
    <row r="24" spans="17:35">
      <c r="Q24" s="4">
        <v>45679</v>
      </c>
      <c r="R24" s="33">
        <v>82</v>
      </c>
      <c r="S24" s="33">
        <v>117</v>
      </c>
      <c r="T24" s="33">
        <v>55</v>
      </c>
      <c r="U24" s="33">
        <v>254</v>
      </c>
      <c r="X24" s="4">
        <v>45680</v>
      </c>
      <c r="Y24" s="33">
        <v>194500000</v>
      </c>
    </row>
    <row r="25" spans="17:35">
      <c r="Q25" s="4">
        <v>45680</v>
      </c>
      <c r="R25" s="33">
        <v>133</v>
      </c>
      <c r="S25" s="33">
        <v>123</v>
      </c>
      <c r="T25" s="33">
        <v>259</v>
      </c>
      <c r="U25" s="33">
        <v>515</v>
      </c>
      <c r="X25" s="4">
        <v>45681</v>
      </c>
      <c r="Y25" s="33">
        <v>123450000</v>
      </c>
    </row>
    <row r="26" spans="17:35">
      <c r="Q26" s="4">
        <v>45681</v>
      </c>
      <c r="R26" s="33">
        <v>23</v>
      </c>
      <c r="S26" s="33">
        <v>196</v>
      </c>
      <c r="T26" s="33">
        <v>172</v>
      </c>
      <c r="U26" s="33">
        <v>391</v>
      </c>
      <c r="X26" s="4">
        <v>45682</v>
      </c>
      <c r="Y26" s="33">
        <v>82800000</v>
      </c>
    </row>
    <row r="27" spans="17:35">
      <c r="Q27" s="4">
        <v>45682</v>
      </c>
      <c r="R27" s="33">
        <v>168</v>
      </c>
      <c r="S27" s="33">
        <v>50</v>
      </c>
      <c r="T27" s="33">
        <v>33</v>
      </c>
      <c r="U27" s="33">
        <v>251</v>
      </c>
      <c r="X27" s="4">
        <v>45683</v>
      </c>
      <c r="Y27" s="33">
        <v>195000000</v>
      </c>
    </row>
    <row r="28" spans="17:35">
      <c r="Q28" s="4">
        <v>45683</v>
      </c>
      <c r="R28" s="33">
        <v>281</v>
      </c>
      <c r="S28" s="33">
        <v>81</v>
      </c>
      <c r="T28" s="33">
        <v>169</v>
      </c>
      <c r="U28" s="33">
        <v>531</v>
      </c>
      <c r="X28" s="4">
        <v>45684</v>
      </c>
      <c r="Y28" s="33">
        <v>113550000</v>
      </c>
    </row>
    <row r="29" spans="17:35">
      <c r="Q29" s="4">
        <v>45684</v>
      </c>
      <c r="R29" s="33">
        <v>130</v>
      </c>
      <c r="S29" s="33">
        <v>157</v>
      </c>
      <c r="T29" s="33">
        <v>89</v>
      </c>
      <c r="U29" s="33">
        <v>376</v>
      </c>
      <c r="X29" s="4">
        <v>45685</v>
      </c>
      <c r="Y29" s="33">
        <v>121800000</v>
      </c>
    </row>
    <row r="30" spans="17:35">
      <c r="Q30" s="4">
        <v>45685</v>
      </c>
      <c r="R30" s="33">
        <v>19</v>
      </c>
      <c r="S30" s="33">
        <v>81</v>
      </c>
      <c r="T30" s="33">
        <v>206</v>
      </c>
      <c r="U30" s="33">
        <v>306</v>
      </c>
      <c r="X30" s="4">
        <v>45686</v>
      </c>
      <c r="Y30" s="33">
        <v>23200000</v>
      </c>
    </row>
    <row r="31" spans="17:35">
      <c r="Q31" s="4">
        <v>45686</v>
      </c>
      <c r="R31" s="33">
        <v>56</v>
      </c>
      <c r="S31" s="33">
        <v>24</v>
      </c>
      <c r="T31" s="33">
        <v>0</v>
      </c>
      <c r="U31" s="33">
        <v>80</v>
      </c>
      <c r="X31" s="4">
        <v>45687</v>
      </c>
      <c r="Y31" s="33">
        <v>104450000</v>
      </c>
    </row>
    <row r="32" spans="17:35">
      <c r="Q32" s="4">
        <v>45687</v>
      </c>
      <c r="R32" s="33">
        <v>134</v>
      </c>
      <c r="S32" s="33">
        <v>227</v>
      </c>
      <c r="T32" s="33">
        <v>47</v>
      </c>
      <c r="U32" s="33">
        <v>408</v>
      </c>
      <c r="X32" s="4">
        <v>45688</v>
      </c>
      <c r="Y32" s="33">
        <v>125400000</v>
      </c>
    </row>
    <row r="33" spans="17:25">
      <c r="Q33" s="4">
        <v>45688</v>
      </c>
      <c r="R33" s="33">
        <v>59</v>
      </c>
      <c r="S33" s="33">
        <v>255</v>
      </c>
      <c r="T33" s="33">
        <v>133</v>
      </c>
      <c r="U33" s="33">
        <v>447</v>
      </c>
      <c r="X33" s="4">
        <v>45689</v>
      </c>
      <c r="Y33" s="33">
        <v>151550000</v>
      </c>
    </row>
    <row r="34" spans="17:25">
      <c r="Q34" s="4">
        <v>45689</v>
      </c>
      <c r="R34" s="33">
        <v>180</v>
      </c>
      <c r="S34" s="33">
        <v>187</v>
      </c>
      <c r="T34" s="33">
        <v>121</v>
      </c>
      <c r="U34" s="33">
        <v>488</v>
      </c>
      <c r="X34" s="4">
        <v>45690</v>
      </c>
      <c r="Y34" s="33">
        <v>77600000</v>
      </c>
    </row>
    <row r="35" spans="17:25">
      <c r="Q35" s="4">
        <v>45690</v>
      </c>
      <c r="R35" s="33">
        <v>176</v>
      </c>
      <c r="S35" s="33">
        <v>0</v>
      </c>
      <c r="T35" s="33">
        <v>32</v>
      </c>
      <c r="U35" s="33">
        <v>208</v>
      </c>
      <c r="X35" s="4">
        <v>45691</v>
      </c>
      <c r="Y35" s="33">
        <v>169700000</v>
      </c>
    </row>
    <row r="36" spans="17:25">
      <c r="Q36" s="4">
        <v>45691</v>
      </c>
      <c r="R36" s="33">
        <v>172</v>
      </c>
      <c r="S36" s="33">
        <v>240</v>
      </c>
      <c r="T36" s="33">
        <v>147</v>
      </c>
      <c r="U36" s="33">
        <v>559</v>
      </c>
      <c r="X36" s="4">
        <v>45692</v>
      </c>
      <c r="Y36" s="33">
        <v>69750000</v>
      </c>
    </row>
    <row r="37" spans="17:25">
      <c r="Q37" s="4">
        <v>45692</v>
      </c>
      <c r="R37" s="33">
        <v>129</v>
      </c>
      <c r="S37" s="33">
        <v>164</v>
      </c>
      <c r="T37" s="33">
        <v>0</v>
      </c>
      <c r="U37" s="33">
        <v>293</v>
      </c>
      <c r="X37" s="4">
        <v>45693</v>
      </c>
      <c r="Y37" s="33">
        <v>114650000</v>
      </c>
    </row>
    <row r="38" spans="17:25">
      <c r="Q38" s="4">
        <v>45693</v>
      </c>
      <c r="R38" s="33">
        <v>49</v>
      </c>
      <c r="S38" s="33">
        <v>0</v>
      </c>
      <c r="T38" s="33">
        <v>195</v>
      </c>
      <c r="U38" s="33">
        <v>244</v>
      </c>
      <c r="X38" s="4">
        <v>45694</v>
      </c>
      <c r="Y38" s="33">
        <v>235100000</v>
      </c>
    </row>
    <row r="39" spans="17:25">
      <c r="Q39" s="4">
        <v>45694</v>
      </c>
      <c r="R39" s="33">
        <v>170</v>
      </c>
      <c r="S39" s="33">
        <v>294</v>
      </c>
      <c r="T39" s="33">
        <v>263</v>
      </c>
      <c r="U39" s="33">
        <v>727</v>
      </c>
      <c r="X39" s="4">
        <v>45695</v>
      </c>
      <c r="Y39" s="33">
        <v>184400000</v>
      </c>
    </row>
    <row r="40" spans="17:25">
      <c r="Q40" s="4">
        <v>45695</v>
      </c>
      <c r="R40" s="33">
        <v>208</v>
      </c>
      <c r="S40" s="33">
        <v>84</v>
      </c>
      <c r="T40" s="33">
        <v>198</v>
      </c>
      <c r="U40" s="33">
        <v>490</v>
      </c>
      <c r="X40" s="4">
        <v>45696</v>
      </c>
      <c r="Y40" s="33">
        <v>142800000</v>
      </c>
    </row>
    <row r="41" spans="17:25">
      <c r="Q41" s="4">
        <v>45696</v>
      </c>
      <c r="R41" s="33">
        <v>156</v>
      </c>
      <c r="S41" s="33">
        <v>118</v>
      </c>
      <c r="T41" s="33">
        <v>141</v>
      </c>
      <c r="U41" s="33">
        <v>415</v>
      </c>
      <c r="X41" s="4">
        <v>45697</v>
      </c>
      <c r="Y41" s="33">
        <v>101250000</v>
      </c>
    </row>
    <row r="42" spans="17:25">
      <c r="Q42" s="4">
        <v>45697</v>
      </c>
      <c r="R42" s="33">
        <v>155</v>
      </c>
      <c r="S42" s="33">
        <v>0</v>
      </c>
      <c r="T42" s="33">
        <v>94</v>
      </c>
      <c r="U42" s="33">
        <v>249</v>
      </c>
      <c r="X42" s="4">
        <v>45698</v>
      </c>
      <c r="Y42" s="33">
        <v>180350000</v>
      </c>
    </row>
    <row r="43" spans="17:25">
      <c r="Q43" s="4">
        <v>45698</v>
      </c>
      <c r="R43" s="33">
        <v>135</v>
      </c>
      <c r="S43" s="33">
        <v>64</v>
      </c>
      <c r="T43" s="33">
        <v>247</v>
      </c>
      <c r="U43" s="33">
        <v>446</v>
      </c>
      <c r="X43" s="4">
        <v>45699</v>
      </c>
      <c r="Y43" s="33">
        <v>168400000</v>
      </c>
    </row>
    <row r="44" spans="17:25">
      <c r="Q44" s="4">
        <v>45699</v>
      </c>
      <c r="R44" s="33">
        <v>347</v>
      </c>
      <c r="S44" s="33">
        <v>43</v>
      </c>
      <c r="T44" s="33">
        <v>81</v>
      </c>
      <c r="U44" s="33">
        <v>471</v>
      </c>
      <c r="X44" s="4">
        <v>45700</v>
      </c>
      <c r="Y44" s="33">
        <v>187300000</v>
      </c>
    </row>
    <row r="45" spans="17:25">
      <c r="Q45" s="4">
        <v>45700</v>
      </c>
      <c r="R45" s="33">
        <v>196</v>
      </c>
      <c r="S45" s="33">
        <v>188</v>
      </c>
      <c r="T45" s="33">
        <v>181</v>
      </c>
      <c r="U45" s="33">
        <v>565</v>
      </c>
      <c r="X45" s="4">
        <v>45701</v>
      </c>
      <c r="Y45" s="33">
        <v>92700000</v>
      </c>
    </row>
    <row r="46" spans="17:25">
      <c r="Q46" s="4">
        <v>45701</v>
      </c>
      <c r="R46" s="33">
        <v>83</v>
      </c>
      <c r="S46" s="33">
        <v>231</v>
      </c>
      <c r="T46" s="33">
        <v>58</v>
      </c>
      <c r="U46" s="33">
        <v>372</v>
      </c>
      <c r="X46" s="4">
        <v>45702</v>
      </c>
      <c r="Y46" s="33">
        <v>212100000</v>
      </c>
    </row>
    <row r="47" spans="17:25">
      <c r="Q47" s="4">
        <v>45702</v>
      </c>
      <c r="R47" s="33">
        <v>76</v>
      </c>
      <c r="S47" s="33">
        <v>70</v>
      </c>
      <c r="T47" s="33">
        <v>350</v>
      </c>
      <c r="U47" s="33">
        <v>496</v>
      </c>
      <c r="X47" s="4">
        <v>45703</v>
      </c>
      <c r="Y47" s="33">
        <v>117450000</v>
      </c>
    </row>
    <row r="48" spans="17:25">
      <c r="Q48" s="4">
        <v>45703</v>
      </c>
      <c r="R48" s="33">
        <v>36</v>
      </c>
      <c r="S48" s="33">
        <v>79</v>
      </c>
      <c r="T48" s="33">
        <v>186</v>
      </c>
      <c r="U48" s="33">
        <v>301</v>
      </c>
      <c r="X48" s="4">
        <v>45704</v>
      </c>
      <c r="Y48" s="33">
        <v>117150000</v>
      </c>
    </row>
    <row r="49" spans="17:25">
      <c r="Q49" s="4">
        <v>45704</v>
      </c>
      <c r="R49" s="33">
        <v>127</v>
      </c>
      <c r="S49" s="33">
        <v>78</v>
      </c>
      <c r="T49" s="33">
        <v>122</v>
      </c>
      <c r="U49" s="33">
        <v>327</v>
      </c>
      <c r="X49" s="4">
        <v>45705</v>
      </c>
      <c r="Y49" s="33">
        <v>112450000</v>
      </c>
    </row>
    <row r="50" spans="17:25">
      <c r="Q50" s="4">
        <v>45705</v>
      </c>
      <c r="R50" s="33">
        <v>94</v>
      </c>
      <c r="S50" s="33">
        <v>47</v>
      </c>
      <c r="T50" s="33">
        <v>145</v>
      </c>
      <c r="U50" s="33">
        <v>286</v>
      </c>
      <c r="X50" s="4">
        <v>45706</v>
      </c>
      <c r="Y50" s="33">
        <v>79100000</v>
      </c>
    </row>
    <row r="51" spans="17:25">
      <c r="Q51" s="4">
        <v>45706</v>
      </c>
      <c r="R51" s="33">
        <v>23</v>
      </c>
      <c r="S51" s="33">
        <v>227</v>
      </c>
      <c r="T51" s="33">
        <v>74</v>
      </c>
      <c r="U51" s="33">
        <v>324</v>
      </c>
      <c r="X51" s="4">
        <v>45707</v>
      </c>
      <c r="Y51" s="33">
        <v>178900000</v>
      </c>
    </row>
    <row r="52" spans="17:25">
      <c r="Q52" s="4">
        <v>45707</v>
      </c>
      <c r="R52" s="33">
        <v>113</v>
      </c>
      <c r="S52" s="33">
        <v>29</v>
      </c>
      <c r="T52" s="33">
        <v>270</v>
      </c>
      <c r="U52" s="33">
        <v>412</v>
      </c>
      <c r="X52" s="4">
        <v>45708</v>
      </c>
      <c r="Y52" s="33">
        <v>198450000</v>
      </c>
    </row>
    <row r="53" spans="17:25">
      <c r="Q53" s="4">
        <v>45708</v>
      </c>
      <c r="R53" s="33">
        <v>178</v>
      </c>
      <c r="S53" s="33">
        <v>291</v>
      </c>
      <c r="T53" s="33">
        <v>185</v>
      </c>
      <c r="U53" s="33">
        <v>654</v>
      </c>
      <c r="X53" s="4">
        <v>45709</v>
      </c>
      <c r="Y53" s="33">
        <v>103700000</v>
      </c>
    </row>
    <row r="54" spans="17:25">
      <c r="Q54" s="4">
        <v>45709</v>
      </c>
      <c r="R54" s="33">
        <v>0</v>
      </c>
      <c r="S54" s="33">
        <v>288</v>
      </c>
      <c r="T54" s="33">
        <v>121</v>
      </c>
      <c r="U54" s="33">
        <v>409</v>
      </c>
      <c r="X54" s="4">
        <v>45710</v>
      </c>
      <c r="Y54" s="33">
        <v>158350000</v>
      </c>
    </row>
    <row r="55" spans="17:25">
      <c r="Q55" s="4">
        <v>45710</v>
      </c>
      <c r="R55" s="33">
        <v>11</v>
      </c>
      <c r="S55" s="33">
        <v>0</v>
      </c>
      <c r="T55" s="33">
        <v>309</v>
      </c>
      <c r="U55" s="33">
        <v>320</v>
      </c>
      <c r="X55" s="4">
        <v>45711</v>
      </c>
      <c r="Y55" s="33">
        <v>140000000</v>
      </c>
    </row>
    <row r="56" spans="17:25">
      <c r="Q56" s="4">
        <v>45711</v>
      </c>
      <c r="R56" s="33">
        <v>301</v>
      </c>
      <c r="S56" s="33">
        <v>231</v>
      </c>
      <c r="T56" s="33">
        <v>0</v>
      </c>
      <c r="U56" s="33">
        <v>532</v>
      </c>
      <c r="X56" s="4">
        <v>45712</v>
      </c>
      <c r="Y56" s="33">
        <v>160650000</v>
      </c>
    </row>
    <row r="57" spans="17:25">
      <c r="Q57" s="4">
        <v>45712</v>
      </c>
      <c r="R57" s="33">
        <v>346</v>
      </c>
      <c r="S57" s="33">
        <v>87</v>
      </c>
      <c r="T57" s="33">
        <v>53</v>
      </c>
      <c r="U57" s="33">
        <v>486</v>
      </c>
      <c r="X57" s="4">
        <v>45713</v>
      </c>
      <c r="Y57" s="33">
        <v>81750000</v>
      </c>
    </row>
    <row r="58" spans="17:25">
      <c r="Q58" s="4">
        <v>45713</v>
      </c>
      <c r="R58" s="33">
        <v>95</v>
      </c>
      <c r="S58" s="33">
        <v>0</v>
      </c>
      <c r="T58" s="33">
        <v>97</v>
      </c>
      <c r="U58" s="33">
        <v>192</v>
      </c>
      <c r="X58" s="4">
        <v>45714</v>
      </c>
      <c r="Y58" s="33">
        <v>123700000</v>
      </c>
    </row>
    <row r="59" spans="17:25">
      <c r="Q59" s="4">
        <v>45714</v>
      </c>
      <c r="R59" s="33">
        <v>183</v>
      </c>
      <c r="S59" s="33">
        <v>81</v>
      </c>
      <c r="T59" s="33">
        <v>95</v>
      </c>
      <c r="U59" s="33">
        <v>359</v>
      </c>
      <c r="X59" s="4">
        <v>45715</v>
      </c>
      <c r="Y59" s="33">
        <v>138200000</v>
      </c>
    </row>
    <row r="60" spans="17:25">
      <c r="Q60" s="4">
        <v>45715</v>
      </c>
      <c r="R60" s="33">
        <v>110</v>
      </c>
      <c r="S60" s="33">
        <v>178</v>
      </c>
      <c r="T60" s="33">
        <v>146</v>
      </c>
      <c r="U60" s="33">
        <v>434</v>
      </c>
      <c r="X60" s="4">
        <v>45716</v>
      </c>
      <c r="Y60" s="33">
        <v>163050000</v>
      </c>
    </row>
    <row r="61" spans="17:25">
      <c r="Q61" s="4">
        <v>45716</v>
      </c>
      <c r="R61" s="33">
        <v>107</v>
      </c>
      <c r="S61" s="33">
        <v>124</v>
      </c>
      <c r="T61" s="33">
        <v>214</v>
      </c>
      <c r="U61" s="33">
        <v>445</v>
      </c>
      <c r="X61" s="4">
        <v>45717</v>
      </c>
      <c r="Y61" s="33">
        <v>184050000</v>
      </c>
    </row>
    <row r="62" spans="17:25">
      <c r="Q62" s="4">
        <v>45717</v>
      </c>
      <c r="R62" s="33">
        <v>67</v>
      </c>
      <c r="S62" s="33">
        <v>454</v>
      </c>
      <c r="T62" s="33">
        <v>185</v>
      </c>
      <c r="U62" s="33">
        <v>706</v>
      </c>
      <c r="X62" s="4">
        <v>45718</v>
      </c>
      <c r="Y62" s="33">
        <v>258200000</v>
      </c>
    </row>
    <row r="63" spans="17:25">
      <c r="Q63" s="4">
        <v>45718</v>
      </c>
      <c r="R63" s="33">
        <v>139</v>
      </c>
      <c r="S63" s="33">
        <v>277</v>
      </c>
      <c r="T63" s="33">
        <v>336</v>
      </c>
      <c r="U63" s="33">
        <v>752</v>
      </c>
      <c r="X63" s="4" t="s">
        <v>553</v>
      </c>
      <c r="Y63" s="33">
        <v>8621500000</v>
      </c>
    </row>
    <row r="64" spans="17:25">
      <c r="Q64" s="4" t="s">
        <v>553</v>
      </c>
      <c r="R64" s="33">
        <v>8084</v>
      </c>
      <c r="S64" s="33">
        <v>8884</v>
      </c>
      <c r="T64" s="33">
        <v>8919</v>
      </c>
      <c r="U64" s="33">
        <v>25887</v>
      </c>
    </row>
  </sheetData>
  <pageMargins left="0.7" right="0.7" top="0.75" bottom="0.75" header="0.3" footer="0.3"/>
  <drawing r:id="rId9"/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ài liệu" ma:contentTypeID="0x01010030450D266485DA42AF4AF1F2B7E24FA9" ma:contentTypeVersion="5" ma:contentTypeDescription="Tạo tài liệu mới." ma:contentTypeScope="" ma:versionID="4d85c88d67c358cd311ed04a3dfacd5f">
  <xsd:schema xmlns:xsd="http://www.w3.org/2001/XMLSchema" xmlns:xs="http://www.w3.org/2001/XMLSchema" xmlns:p="http://schemas.microsoft.com/office/2006/metadata/properties" xmlns:ns3="65c7a67c-393c-483f-bdb8-317b6e15baca" targetNamespace="http://schemas.microsoft.com/office/2006/metadata/properties" ma:root="true" ma:fieldsID="29ed6a221da4cbd883a04f5c65261997" ns3:_="">
    <xsd:import namespace="65c7a67c-393c-483f-bdb8-317b6e15bac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7a67c-393c-483f-bdb8-317b6e15bac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Loại Nội dung"/>
        <xsd:element ref="dc:title" minOccurs="0" maxOccurs="1" ma:index="4" ma:displayName="Tiêu đề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5c7a67c-393c-483f-bdb8-317b6e15bac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50DF1B5-6BC6-4842-9383-A41608C9C95E}"/>
</file>

<file path=customXml/itemProps2.xml><?xml version="1.0" encoding="utf-8"?>
<ds:datastoreItem xmlns:ds="http://schemas.openxmlformats.org/officeDocument/2006/customXml" ds:itemID="{F9A8ADB5-474B-4DA9-9C4C-999B597C935E}"/>
</file>

<file path=customXml/itemProps3.xml><?xml version="1.0" encoding="utf-8"?>
<ds:datastoreItem xmlns:ds="http://schemas.openxmlformats.org/officeDocument/2006/customXml" ds:itemID="{B0CA65C8-22BF-4386-BFB2-D2F7B4F156F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Nhật Dương</dc:creator>
  <cp:keywords/>
  <dc:description/>
  <cp:lastModifiedBy/>
  <cp:revision/>
  <dcterms:created xsi:type="dcterms:W3CDTF">2026-03-30T02:35:00Z</dcterms:created>
  <dcterms:modified xsi:type="dcterms:W3CDTF">2026-10-19T15:53:53Z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0x01010030450D266485DA42AF4AF1F2B7E24FA9</vt:lpwstr>
  </property>
</Properties>
</file>